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darea\aiproduct\excel_weekly\"/>
    </mc:Choice>
  </mc:AlternateContent>
  <xr:revisionPtr revIDLastSave="0" documentId="13_ncr:1_{2C23AE26-2C0D-4182-9E6D-3C62918FB208}" xr6:coauthVersionLast="47" xr6:coauthVersionMax="47" xr10:uidLastSave="{00000000-0000-0000-0000-000000000000}"/>
  <bookViews>
    <workbookView xWindow="-98" yWindow="-98" windowWidth="21795" windowHeight="12975" xr2:uid="{00000000-000D-0000-FFFF-FFFF00000000}"/>
  </bookViews>
  <sheets>
    <sheet name="按类别区分 2026年8月" sheetId="18" r:id="rId1"/>
    <sheet name="Sheet1" sheetId="20" r:id="rId2"/>
    <sheet name="Sheet2" sheetId="22" r:id="rId3"/>
  </sheets>
  <definedNames>
    <definedName name="_xlnm._FilterDatabase" localSheetId="0" hidden="1">'按类别区分 2026年8月'!$A$1:$HU$235</definedName>
  </definedNames>
  <calcPr calcId="191029"/>
  <pivotCaches>
    <pivotCache cacheId="2" r:id="rId4"/>
    <pivotCache cacheId="3"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8" i="18" l="1"/>
  <c r="M18" i="18"/>
  <c r="O15" i="18"/>
  <c r="O14" i="18"/>
  <c r="O12" i="18"/>
  <c r="A3" i="18"/>
  <c r="A4" i="18" s="1"/>
  <c r="A5" i="18" s="1"/>
  <c r="A6" i="18" s="1"/>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A144" i="18" s="1"/>
  <c r="A145" i="18" s="1"/>
  <c r="A146" i="18" s="1"/>
  <c r="A147" i="18" s="1"/>
  <c r="A148" i="18" s="1"/>
  <c r="A149" i="18" s="1"/>
  <c r="A150" i="18" s="1"/>
  <c r="A151" i="18" s="1"/>
  <c r="A152" i="18" s="1"/>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A172" i="18" s="1"/>
  <c r="A173" i="18" s="1"/>
  <c r="A174" i="18" s="1"/>
  <c r="A175" i="18" s="1"/>
  <c r="A176" i="18" s="1"/>
  <c r="A177" i="18" s="1"/>
  <c r="A178" i="18" s="1"/>
  <c r="A179" i="18" s="1"/>
  <c r="A180" i="18" s="1"/>
  <c r="A181" i="18" s="1"/>
  <c r="A182" i="18" s="1"/>
  <c r="A183" i="18" s="1"/>
  <c r="A184" i="18" s="1"/>
  <c r="A185" i="18" s="1"/>
  <c r="A186" i="18" s="1"/>
  <c r="A187" i="18" s="1"/>
  <c r="A188" i="18" s="1"/>
  <c r="A189" i="18" s="1"/>
  <c r="A190" i="18" s="1"/>
  <c r="A191" i="18" s="1"/>
  <c r="A192" i="18" s="1"/>
  <c r="A193" i="18" s="1"/>
  <c r="A194" i="18" s="1"/>
  <c r="A195" i="18" s="1"/>
  <c r="A196" i="18" s="1"/>
  <c r="A197" i="18" s="1"/>
  <c r="A198" i="18" s="1"/>
  <c r="A199" i="18" s="1"/>
  <c r="A200" i="18" s="1"/>
  <c r="A201" i="18" s="1"/>
  <c r="A202" i="18" s="1"/>
  <c r="A203" i="18" s="1"/>
  <c r="A204" i="18" s="1"/>
  <c r="A205" i="18" s="1"/>
  <c r="A206" i="18" s="1"/>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alcChain>
</file>

<file path=xl/sharedStrings.xml><?xml version="1.0" encoding="utf-8"?>
<sst xmlns="http://schemas.openxmlformats.org/spreadsheetml/2006/main" count="2584" uniqueCount="814">
  <si>
    <t>序号</t>
  </si>
  <si>
    <t>专业类别</t>
  </si>
  <si>
    <t>项目编码</t>
  </si>
  <si>
    <t>项目名称</t>
  </si>
  <si>
    <t>立项批复日期</t>
  </si>
  <si>
    <t>分类</t>
  </si>
  <si>
    <t>工程责任人</t>
  </si>
  <si>
    <t>立项金额（万元）</t>
  </si>
  <si>
    <t>项目阶段</t>
  </si>
  <si>
    <t>建设内容</t>
  </si>
  <si>
    <t>主设备请购完成率</t>
  </si>
  <si>
    <t>是否交底</t>
  </si>
  <si>
    <t>主设备到货完成率</t>
  </si>
  <si>
    <t>是否上线交维</t>
  </si>
  <si>
    <t>是否竣工验收</t>
  </si>
  <si>
    <t>业务网</t>
  </si>
  <si>
    <t>B25302310CA4001</t>
  </si>
  <si>
    <t>2025年宿迁智算X节点工程项目</t>
  </si>
  <si>
    <t>收入相关</t>
  </si>
  <si>
    <t>孟振洋</t>
  </si>
  <si>
    <t>工程验收阶段</t>
  </si>
  <si>
    <t>建设4台推理服务器及配套网络设备</t>
  </si>
  <si>
    <t>系统已割接上线</t>
  </si>
  <si>
    <t>否</t>
  </si>
  <si>
    <t>是</t>
  </si>
  <si>
    <t>B25302310CA701F</t>
  </si>
  <si>
    <t>视联网X节点资源池工程项目</t>
  </si>
  <si>
    <t>刘栋</t>
  </si>
  <si>
    <t>项目实施阶段</t>
  </si>
  <si>
    <t>建设1530台通算服务器、28台推理服务器、分布式存储、配套网络设备、安全设备、视频类对象分布式节点软件、云资源池管理、安全、运维管理等软件能力</t>
  </si>
  <si>
    <t>硬件实施工作已结束，本周开展江北机房服务器虚拟化软件部署</t>
  </si>
  <si>
    <t>本周开展马山机房的硬件初始化工作，配合杭研南京节点进场方案讨论</t>
  </si>
  <si>
    <t>B25302310CA701Y</t>
  </si>
  <si>
    <t>2025年家庭云电脑业务平台建设工程项目</t>
  </si>
  <si>
    <t>在省内南京、无锡两个节点完成家庭云电脑业务平台建设，增加人工智能通用计算设备（XR渲染设备）87台、存储服务器99台、管理节点服务器14台、算网底座服务器10台和SCG服务器6台，以及网络和安全设备及软件系统一套</t>
  </si>
  <si>
    <t>无锡节点已完成上线并承载业务</t>
  </si>
  <si>
    <t>B26302310CA5002</t>
  </si>
  <si>
    <t>2026年B2B内容分发网络建设项目</t>
  </si>
  <si>
    <t>在省内南京、苏州、无锡三个节点完成B2B内容分发网络的扩容建设，完成省内CDN系统华为平面的点播节点586G容量及内容中心1000G容量、自研节点点播及直播2774G容量的扩容，同时完成软件业务功能升级，满足集团CDN流量从华为、中兴平面回迁至自研平台的要求</t>
  </si>
  <si>
    <t>咪咕软件部署已完成，申请集团4A纳管中；华为软件部署中（总体完成率85%）</t>
  </si>
  <si>
    <t>咪咕软件部署已完成，申请集团4A纳管中；华为软件部署中（总体完成率95%）</t>
  </si>
  <si>
    <t>B25302310CA4002</t>
  </si>
  <si>
    <t>2025年盐城智算X节点工程项目</t>
  </si>
  <si>
    <t>建设10台推理服务器及配套网络设备</t>
  </si>
  <si>
    <t>B25302310CA4003</t>
  </si>
  <si>
    <t>2025年泰州智算X节点工程项目</t>
  </si>
  <si>
    <t>建设8台推理服务器及配套网络设备</t>
  </si>
  <si>
    <t>B25302310CA4004</t>
  </si>
  <si>
    <t>2025年南通智算X节点工程项目</t>
  </si>
  <si>
    <t>B25302310CA4005</t>
  </si>
  <si>
    <t>2025年扬州智算X节点工程项目</t>
  </si>
  <si>
    <t>建设4台推理服务器</t>
  </si>
  <si>
    <t>B25302310CA4007</t>
  </si>
  <si>
    <t>2025年南京智算X节点工程建设项目</t>
  </si>
  <si>
    <t>建设23台智算推理服务器及配套网络设备</t>
  </si>
  <si>
    <t>已完工，待割接上线交维。</t>
  </si>
  <si>
    <t>B25302310CA4008</t>
  </si>
  <si>
    <t>2025年镇江智算X节点工程项目</t>
  </si>
  <si>
    <t>建设3台推理服务器</t>
  </si>
  <si>
    <t>系统已割接上线，已交维</t>
  </si>
  <si>
    <t>B25302310CA700W</t>
  </si>
  <si>
    <t>新型产品及平台支撑资源省中心智算X节点工程</t>
  </si>
  <si>
    <t>建设399台通算服务器、40台推理服务器、配套网络设备及相关管理软件</t>
  </si>
  <si>
    <t>基本完成建设内容，尚缺18台推理服务器，到货时间不确定</t>
  </si>
  <si>
    <t>B25302310CA701B</t>
  </si>
  <si>
    <t>2025年个人算力产品X节点资源项目一阶段工程</t>
  </si>
  <si>
    <t>拟取消</t>
  </si>
  <si>
    <t>新建算力服务器10台、算力卡80卡，并按需建设配套的网络设备</t>
  </si>
  <si>
    <t>因4090D算力卡设备无法采购，项目拟取消</t>
  </si>
  <si>
    <t>B26302310CA4001</t>
  </si>
  <si>
    <t>2026年宿迁智算X节点工程项目</t>
  </si>
  <si>
    <t>服务器已到货，待网络设备到货后完成组网联调</t>
  </si>
  <si>
    <t>B26302310CA4002</t>
  </si>
  <si>
    <t>2026年淮安智算X节点工程项目</t>
  </si>
  <si>
    <t>勘察设计阶段</t>
  </si>
  <si>
    <t>建设3台推理服务器及配套网络设备。</t>
  </si>
  <si>
    <t>B26302310CA4003</t>
  </si>
  <si>
    <t>2026年盐城智算X节点工程项目</t>
  </si>
  <si>
    <t>建设10台推理服务器及配套网络设备。</t>
  </si>
  <si>
    <t>B26302310CA4005</t>
  </si>
  <si>
    <t>2026年南京智算X节点工程项目</t>
  </si>
  <si>
    <t>建设26台推理服务器、10台通算服务器及配套网络设备</t>
  </si>
  <si>
    <t>服务器和网络设备均已到货，分阶段领用到货设备和安装</t>
  </si>
  <si>
    <t>B26302310CA4006</t>
  </si>
  <si>
    <t>2026年省中心智算X节点工程</t>
  </si>
  <si>
    <t>建设20台推理服务器、1套分布式存储、资源管理软件及配套网络设备等</t>
  </si>
  <si>
    <t>本周仪征数据204机房ROCE交换机48个光模块完成更换，锐捷交换机调试完成，仪征机房到江北数据中心的光路调试完成，科创301机房的4台PPU的电源线已补发到货。</t>
  </si>
  <si>
    <t>B26302310CA4007</t>
  </si>
  <si>
    <t>2026年苏州智算X节点工程</t>
  </si>
  <si>
    <t>建设19台推理服务器及配套网络设备</t>
  </si>
  <si>
    <t>设计院无框架，无法派工，工程暂停</t>
  </si>
  <si>
    <t>B26302310CA4008</t>
  </si>
  <si>
    <t>2026年南京智算X节点二阶段工程</t>
  </si>
  <si>
    <t>建设6台推理服务器</t>
  </si>
  <si>
    <t>服务器未完整到货，待服务器、网络设备到货后完成组网联调</t>
  </si>
  <si>
    <t>B26302310CA4009</t>
  </si>
  <si>
    <t>2026年无锡智算X节点工程项目</t>
  </si>
  <si>
    <t>建设8台推理服务器</t>
  </si>
  <si>
    <t>待服务器、网络设备到货后完成组网联调</t>
  </si>
  <si>
    <t>B26302310CA400A</t>
  </si>
  <si>
    <t>2026年盐城智算X节点二阶段工程项目</t>
  </si>
  <si>
    <t>B26302310CA400B</t>
  </si>
  <si>
    <t>2026年南通智算X节点工程项目</t>
  </si>
  <si>
    <t>建设7台推理服务器及配套网络设备</t>
  </si>
  <si>
    <t>设备都已到货，待集团客户部确认最终安装位置。</t>
  </si>
  <si>
    <t>B26302310CA400C</t>
  </si>
  <si>
    <t>2026年苏州智算X节点二阶段工程</t>
  </si>
  <si>
    <t>B26302310CA400D</t>
  </si>
  <si>
    <t>2026年徐州智算X节点工程项目</t>
  </si>
  <si>
    <t>建设5台推理服务器及配套网络设备</t>
  </si>
  <si>
    <t>服务器计划下周三到货，交换机厂家还未有到货计划</t>
  </si>
  <si>
    <t>B25302310CA6001</t>
  </si>
  <si>
    <t>2025年CMNet流量监控平台一期工程</t>
  </si>
  <si>
    <t>基础能力</t>
  </si>
  <si>
    <t>谭旭辉</t>
  </si>
  <si>
    <t>扩容一批DPI设备性能板卡覆盖3.1T链路，针对性能不足处理不足节点裂点覆盖8.9T，新增5.6T链路监测能力，新建95台XDR话单服务器、15台平台管理服务器等</t>
  </si>
  <si>
    <t>已完成割接上线交维</t>
  </si>
  <si>
    <t>移动通信网-核心网</t>
  </si>
  <si>
    <t>C25302325ABF001</t>
  </si>
  <si>
    <t>2025年苏州共享UPF扩容工程</t>
  </si>
  <si>
    <t>金晓宏</t>
  </si>
  <si>
    <t>终验归档阶段</t>
  </si>
  <si>
    <t>对苏州现网2台共享UPF进行软硬件扩容，扩容容量30万PDU会话</t>
  </si>
  <si>
    <t>项目已竣工验收</t>
  </si>
  <si>
    <t>C25302322ABF001</t>
  </si>
  <si>
    <t>2025年无锡共享UPF扩容工程</t>
  </si>
  <si>
    <t>对无锡现网2台共享UPF进行软硬件扩容，扩容容量20万PDU会话</t>
  </si>
  <si>
    <t>C25302321ABF001</t>
  </si>
  <si>
    <t>2025年南京第一批5G垂直行业专网项目</t>
  </si>
  <si>
    <t>采用大立项精方案模式，共计建设2套专用型边缘UPF设备，后期根据实际项目进展进行精方案的编制、审批和建设</t>
  </si>
  <si>
    <t>B25302310ABE001</t>
  </si>
  <si>
    <t>中国移动集中网络云资源池七期工程_江苏公司</t>
  </si>
  <si>
    <t>钱镇</t>
  </si>
  <si>
    <t>网络云七期共新建23个资源池、扩容41个资源池，建设总规模约1.11万台服务器，其中新增计算服务器0.87万台、存储服务器41.9PB（约0.16万台），利旧计算服务器0.07万台、存储服务器0.01万台3PB，同时新增组网、安全等设备</t>
  </si>
  <si>
    <t>本周继续17池硬件集成（总体完成率60%）</t>
  </si>
  <si>
    <t>传输网</t>
  </si>
  <si>
    <t>B25302310BBA001</t>
  </si>
  <si>
    <t>2025年虎踞路59号业务路由器搬迁工程</t>
  </si>
  <si>
    <t>在虎踞路3楼机房新建1台业务接入路由器替换原2楼设备，完成业务割接后原设备板卡利旧至江浦机房业务路由器扩容</t>
  </si>
  <si>
    <t>B25302310BBA002</t>
  </si>
  <si>
    <t>2025年iBNG项目</t>
  </si>
  <si>
    <t>建设iBNG管控平台一套；全省26台BRAS扩容70块SA板卡，扩容26套CGN license</t>
  </si>
  <si>
    <t>正在进行割接上线交维</t>
  </si>
  <si>
    <t>提交施工费结算审计</t>
  </si>
  <si>
    <t>支撑网</t>
  </si>
  <si>
    <t>B25302310CB0003</t>
  </si>
  <si>
    <t>2025年业务支撑网老旧设备替换工程</t>
  </si>
  <si>
    <t>郑彤</t>
  </si>
  <si>
    <t>完成业务支撑网B域、O域21个应用系统老旧设备替换和地市统一支撑平台等系统数据库服务器的替换，建设服务器726台、存储4台及其配套网络安全设备和虚拟化软件</t>
  </si>
  <si>
    <t>C25302332ABF001</t>
  </si>
  <si>
    <t>2025年泰州梅兰新材料5G专网项目</t>
  </si>
  <si>
    <t>在泰州梅兰新材料有限公司数据中心建设1套专用型边缘UPF设备</t>
  </si>
  <si>
    <t>C25302329ABF001</t>
  </si>
  <si>
    <t>2025年盐城第一批5G垂直行业专网项目</t>
  </si>
  <si>
    <t>采用大立项精方案模式，共计建设5套专用型边缘UPF设备，后期根据实际项目进展进行精方案的编制、审批和建设</t>
  </si>
  <si>
    <t>已完成割接上线交维，终验准备中</t>
  </si>
  <si>
    <t>C25302321ABF002</t>
  </si>
  <si>
    <t>2025年南京南钢智慧铁水运输5G专网项目</t>
  </si>
  <si>
    <t>在南京南钢智慧中心A座1楼机房建设1套专用型边缘UPF设备</t>
  </si>
  <si>
    <t>C25302326ABF001</t>
  </si>
  <si>
    <t>2025年南通第一批5G垂直行业专网项目</t>
  </si>
  <si>
    <t>采用大立项精方案模式，共计建设6套专用型边缘UPF设备，后期根据实际项目进展进行精方案的编制、审批和建设</t>
  </si>
  <si>
    <t>C25302327ABF001</t>
  </si>
  <si>
    <t>2025年连云港第一批5G垂直行业专网项目</t>
  </si>
  <si>
    <t>项目实施中</t>
  </si>
  <si>
    <t>C25302323ABF001</t>
  </si>
  <si>
    <t>2025年徐州第一批5G垂直行业专网项目</t>
  </si>
  <si>
    <t>C25302325ABF002</t>
  </si>
  <si>
    <t>2025年苏州新建ToB共享UPF项目</t>
  </si>
  <si>
    <t>在苏州新建2台ToB共享UPF及配套数通等设备，共计新增容量40万PDU会话</t>
  </si>
  <si>
    <t>C25302322ABF002</t>
  </si>
  <si>
    <t>2025年无锡新建ToB共享UPF项目</t>
  </si>
  <si>
    <t>在无锡惠山8层机房、太科园3层机房各新建1套ToB共享UPF（UDG），共计新增容量30万PDU会话，并同步扩容配套数通、分光/光放等设备</t>
  </si>
  <si>
    <t>C25302323BBA001</t>
  </si>
  <si>
    <t>2025年徐州地区城域数据网一期工程</t>
  </si>
  <si>
    <t>徐州地区BRAS/SR新增136个等效10G端口等</t>
  </si>
  <si>
    <t>正在进行业务割接</t>
  </si>
  <si>
    <t>C25302326BBA001</t>
  </si>
  <si>
    <t>2025年南通地区城域数据网一期工程</t>
  </si>
  <si>
    <t>南通地区BRAS/SR新增190个等效10G端口，替换5台诺基亚贝尔BRAS等</t>
  </si>
  <si>
    <t>C25302324BBA001</t>
  </si>
  <si>
    <t>2025年常州地区城域数据网一期工程</t>
  </si>
  <si>
    <t>C25302331BBA001</t>
  </si>
  <si>
    <t>2025年镇江地区城域数据网一期工程</t>
  </si>
  <si>
    <t>镇江地区BRAS/SR新增140个等效10G端口等</t>
  </si>
  <si>
    <t>C25302330BBA001</t>
  </si>
  <si>
    <t>2025年扬州地区城域数据网一期工程</t>
  </si>
  <si>
    <t>C25302332BBA001</t>
  </si>
  <si>
    <t>2025年泰州地区城域数据网一期工程</t>
  </si>
  <si>
    <t>泰州地区BRAS/SR新增80个等效10G端口，替换3台诺基亚贝尔BRAS等</t>
  </si>
  <si>
    <t>C25302322BBA001</t>
  </si>
  <si>
    <t>2025年无锡地区城域数据网一期工程</t>
  </si>
  <si>
    <t>无锡地区BRAS/SR新增502个等效10G端口，替换4台诺基亚贝尔BRAS等</t>
  </si>
  <si>
    <t>C25302329BBA001</t>
  </si>
  <si>
    <t>2025年盐城地区城域数据网一期工程</t>
  </si>
  <si>
    <t>盐城地区BRAS/SR新增230个等效10G端口等</t>
  </si>
  <si>
    <t>C25302328BBA001</t>
  </si>
  <si>
    <t>2025年淮安地区城域数据网一期工程</t>
  </si>
  <si>
    <t>淮安地区BRAS/SR新增300个等效10G端口等</t>
  </si>
  <si>
    <t>C25302321BBA001</t>
  </si>
  <si>
    <t>2025年南京地区城域数据网一期工程</t>
  </si>
  <si>
    <t>南京地区BRAS/SR新增400个等效10G端口等</t>
  </si>
  <si>
    <t>C25302325BBA001</t>
  </si>
  <si>
    <t>2025年苏州地区城域数据网一期工程</t>
  </si>
  <si>
    <t>苏州地区BRAS/SR新增580个等效10G端口，替换7台诺基亚贝尔BRAS等</t>
  </si>
  <si>
    <t>C25302327BBA001</t>
  </si>
  <si>
    <t>2025年连云港地区城域数据网一期工程</t>
  </si>
  <si>
    <t>连云港地区BRAS/SR新增130个等效10G端口等</t>
  </si>
  <si>
    <t>C25302333BBA001</t>
  </si>
  <si>
    <t>2025年宿迁地区城域数据网一期工程</t>
  </si>
  <si>
    <t>宿迁地区BRAS/SR新增188个等效10G端口，替换2台诺基亚贝尔BRAS等</t>
  </si>
  <si>
    <t>C25302332ABF002</t>
  </si>
  <si>
    <t>2025年泰州第一批5G垂直行业专网项目</t>
  </si>
  <si>
    <t>C25302322ABF003</t>
  </si>
  <si>
    <t>2025年无锡第一批5G垂直行业专网项目</t>
  </si>
  <si>
    <t>采用大立项精方案模式，共计建设4套专用型边缘UPF设备，后期根据实际项目进展进行精方案的编制、审批和建设</t>
  </si>
  <si>
    <t>C25302321ABF003</t>
  </si>
  <si>
    <t>2025年南京第二批5G垂直行业专网项目</t>
  </si>
  <si>
    <t>采用大立项精方案模式，共计建设3套专用型边缘UPF设备，后期根据实际项目进展进行精方案的编制、审批和建设</t>
  </si>
  <si>
    <t>C25302332ABF003</t>
  </si>
  <si>
    <t>2025年泰州恒力5G专网项目</t>
  </si>
  <si>
    <t>在泰州恒力制动器制造有限公司数据中心建设1套专用型边缘UPF设备</t>
  </si>
  <si>
    <t>C25302325ABF003</t>
  </si>
  <si>
    <t>2025年苏州第一批5G垂直行业专网项目</t>
  </si>
  <si>
    <t>C25302328ABF001</t>
  </si>
  <si>
    <t>2025年淮安市第三人民医院5G专网项目</t>
  </si>
  <si>
    <t>在淮安市第三人民医院建设1套专用型边缘UPF设备</t>
  </si>
  <si>
    <t>B25302310BBB009</t>
  </si>
  <si>
    <t>中国移动CMNet骨干网十五期扩容工程第一阶段工程_江苏公司</t>
  </si>
  <si>
    <t>在张家口、韶关、深圳共增设6个骨干核心节点；省际带宽扩容95.8Tbps、撤销29.2Tbps，到达652.7Tbps；开展42台现网设备自主可控替代</t>
  </si>
  <si>
    <t>本周完成苏州和无锡配套ODF和尾纤安装布放</t>
  </si>
  <si>
    <t>进行南京奥体和江浦配套安装，进行施工费审计结算</t>
  </si>
  <si>
    <t>B25302310BBB00E</t>
  </si>
  <si>
    <t>中国移动云专网骨干网优化工程第一阶段工程_江苏公司</t>
  </si>
  <si>
    <t>在张家口、韶关、庆阳、芜湖共增设8个骨干核心节点；新增甘肃-新疆等16个省际局向；省际带宽新增12.1Tbps、撤销16.4Tbps，到达43.2Tbps；开展62台现网设备自主可控替代</t>
  </si>
  <si>
    <t>进行施工费审计结算</t>
  </si>
  <si>
    <t>B25302310ABA002</t>
  </si>
  <si>
    <t>中国移动2025-2026年核心网数字孪生体系新技术试验网工程_江苏公司</t>
  </si>
  <si>
    <t>首次引入核心网数字孪生体系，在浙江、河南、广东、江苏等先发省份建设孪生载体测试床，实现FOA测试加速和业务创新赋能新技术验证；建设孪生平台，通过网络孪生模块实现复杂容灾信令冲击预演、容灾历程仿真等新技术验证，通过业务孪生模块实现高价值用户感知仿真等新技术验证，赋能精准建设和精细化运营</t>
  </si>
  <si>
    <t>已上线、试运行</t>
  </si>
  <si>
    <t>B25302310AB0002</t>
  </si>
  <si>
    <t>2025年2G端局缩量整合（核心网部分）项目</t>
  </si>
  <si>
    <t>利用苏北16套华为ATCA设备组成2个跨地市大POOL，替换苏北全部华为CPCI端局，16套ATCA设备利旧CPCI硬件扩容到450万用户/套；利旧南京、苏州共4只华为GMSC和4只DM，利旧2只华为eMSC和4只eMGW，共6套MSC SERVER和8套MGW，新建1个华为MSC POOL，替换苏南全部爱立信端局</t>
  </si>
  <si>
    <t>B25302310AB0003</t>
  </si>
  <si>
    <t>2025年VoNR+网络新技术试点（新通话四期试点）配套工程</t>
  </si>
  <si>
    <t>建设2025年VoNR+网络新技术（新通话四期试点）试点测试环境</t>
  </si>
  <si>
    <t>B25302310AB0004</t>
  </si>
  <si>
    <t>2025年固网IMS核心网I-SBC扩容与替换工程（第一批）</t>
  </si>
  <si>
    <t>在南京集中新建I-SBC设备，建设总规模为60.4万ERL，硬件一次建设到位，软件分批建设，第一批次软件建设容量为22.9万ERL，其中包含13.6万ERL新增容量、9.24万ERL替换容量</t>
  </si>
  <si>
    <t>工程实施中</t>
  </si>
  <si>
    <t>移动通信网-无线网</t>
  </si>
  <si>
    <t>B25302310AA3001</t>
  </si>
  <si>
    <t>2025年2G端局缩量整合（无线网部分）项目</t>
  </si>
  <si>
    <t>对苏州、无锡、南通、常州、镇江等5个地市的83套BSC进行AOIP改造，接入新建的苏南华为MSC POOL</t>
  </si>
  <si>
    <t>C25302331ABF001</t>
  </si>
  <si>
    <t>2025年镇江ToB共享UPF扩容工程</t>
  </si>
  <si>
    <t>对镇江现网2台ToB共享UPF进行软硬件扩容，扩容容量17.2万PDU会话</t>
  </si>
  <si>
    <t>B25302310BBD002</t>
  </si>
  <si>
    <t>中国移动IP专用承载网骨干网优化工程第一阶段工程_江苏公司</t>
  </si>
  <si>
    <t>统筹全网资源，根据业务需求、现网资源使用情况优化带宽布局，持续提升IP专用承载网承载效能；对扩容节点开展非自主可控设备、板卡替换，确保2026年IP专用承载网自主可控比例达到100%</t>
  </si>
  <si>
    <t>本周完成省本部南京CR和无锡BR节点割接上线交维</t>
  </si>
  <si>
    <t>B25302310BBB00G</t>
  </si>
  <si>
    <t>中国移动互联网国内网间出口九期扩容工程_江苏公司</t>
  </si>
  <si>
    <t>扩容网间互联带宽13.4Tbps，其中为保证重点客户感知设置保障通道带宽7.4Tbps；开展非自主可控设备、板卡替换，确保2025年国内网间出口设备全部实现自主可控</t>
  </si>
  <si>
    <t>B25302310ABA00A</t>
  </si>
  <si>
    <t>中国移动物联网核心网九期工程_江苏节点</t>
  </si>
  <si>
    <t>（一）物联网4G/5G/NB融合核心网：SMF/SAEGW-C/GGSN-C、融合CHF/CG扩容基础容量2669万承载PDP、5G容量2190.5万PDU会话；省级专线UPF扩容基础容量2708.8万承载PDP、5G容量2646.3万PDU会话；四融合AUSF/UDM/UDR扩容基础容量4647万动态用户、5G容量496万动态用户、VoIMS容量2217万动态用户；数据业务二融合PCF/UDR扩容5G容量514万PDU会话；新增信令安全网关62套，满足2540套等效UPF节点的接入需求。（二）物联网IMS核心网：ISE-CSCF/BGCF、VoLTE AS、物联网二级ENUM/DNS等IMS网元扩容1940万用户容量；智能网SCP/AS/SCP扩容1902万用户容量；OMC运维分析工具新增3370用户容量。（三）物联网融合消息中心：扩容1876万忙时注册用户，新增MSC/VLR联合附着功能容量31938万户。（四）新技术新功能升级：择优引入网联无人机、XR、双发选收、内生安全、语音用户数据故障Bypass、网投查询等新功能</t>
  </si>
  <si>
    <t>本周完成第一批网元第4次割接（总体完成率30%）</t>
  </si>
  <si>
    <t>C25302324ABF001</t>
  </si>
  <si>
    <t>2025年常州第一批5G垂直行业专网项目</t>
  </si>
  <si>
    <t>C25302330ABF001</t>
  </si>
  <si>
    <t>2025年扬州第一批5G垂直行业专网项目</t>
  </si>
  <si>
    <t>B25302310ABA006</t>
  </si>
  <si>
    <t>中国移动2.6GHz广电专用核心网三期工程_江苏公司</t>
  </si>
  <si>
    <t>新增支持3247万语音保障容量（其中1945万5G网络接入使用用户）业务发展需要，按需扩容AMF/MME、I-SMF/SGW-C、CHF/CG、I-UPF/SGW-U、NRF、DRA等网元：（1）在网络云八大区资源池扩容AMF/MME、I-SMF/SGW-C、CHF/CG，其中AMF/MME新增基础容量3247万户、5G容量1945万户，I-SMF/SGW-C、CHF/CG新增基础容量6494万承载、5G容量3890万PDU会话；（2）在网络云华北（河北）、华南（广东）大区扩容NRF、DRA，其中NRF扩容1945万户、DRA扩容3.2万MPS；（3）在31省省中心扩容I-UPF/SGW-U，新增基础容量6494万承载、5G容量3890万PDU会话</t>
  </si>
  <si>
    <t>B25302310CAC001</t>
  </si>
  <si>
    <t>2025年IDC网络改造工程项目</t>
  </si>
  <si>
    <t>完成现网IDC系统中50台老旧网络设备的替换，消除网络关键隐患；新增4台服务器，完成对IDC信息系统的CU控制单元、网络安全模块进行升级改造，满足两部委考核创新试点工作要求</t>
  </si>
  <si>
    <t>C25302323ABF002</t>
  </si>
  <si>
    <t>2025年南京第三批5G垂直行业专网项目</t>
  </si>
  <si>
    <t>B25302310BBA003</t>
  </si>
  <si>
    <t>2025年城域数据网核心路由器扩容工程</t>
  </si>
  <si>
    <t>IDC汇聚路由器和城域网核心路由器共扩容65套100G板卡license、11套10G板卡license；全省12台核心路由器升级至3.2T平台等</t>
  </si>
  <si>
    <t>本周完成省本部割接上线交维</t>
  </si>
  <si>
    <t>完成三费审结算</t>
  </si>
  <si>
    <t>C25302321ABF004</t>
  </si>
  <si>
    <t>2025年徐州第二批5G垂直行业专网项目</t>
  </si>
  <si>
    <t>B25302310ABA004</t>
  </si>
  <si>
    <t>中国移动2025-2026年云化4G5G融合核心网项目_江苏公司</t>
  </si>
  <si>
    <t>5G核心网、用户数据、智能策略控制、自智网络</t>
  </si>
  <si>
    <t>B25302310ABC001</t>
  </si>
  <si>
    <t>中国移动2025-2026年云化信令网工程_江苏公司</t>
  </si>
  <si>
    <t xml:space="preserve">
1668</t>
  </si>
  <si>
    <t>HNRF/SCP：新增转接能力61万MPS；LNRF/SCP：新增用户容量0.54亿户、转接能力222万MPS；计费NRF：新增用户容量0.54亿户</t>
  </si>
  <si>
    <t>B25302310CA7027</t>
  </si>
  <si>
    <t>DNS十三期扩容硬件改造项目</t>
  </si>
  <si>
    <t>为满足集团公司关键信息基础设施国产化替代工作要求，完成DNS关键系统54台服务器替换与改造</t>
  </si>
  <si>
    <t>正在进行立项变更，设备安装调测中</t>
  </si>
  <si>
    <t>B25302310ABA005</t>
  </si>
  <si>
    <t>中国移动2025-2026年4G5G融合核心网智能化新技术试验网项目_江苏公司</t>
  </si>
  <si>
    <t>高铁专网用户行为精准识别、UPF业务识别及体验评估能力提升、NWDAF保障数据分析</t>
  </si>
  <si>
    <t>B25302310ABB004</t>
  </si>
  <si>
    <t>中国移动2025-2026年云化语音网络工程_江苏节点</t>
  </si>
  <si>
    <t>满足至2026年底9.8亿VoLTE/VoNR用户、1.2亿新通话智能应用用户和5亿智能网用户业务需求</t>
  </si>
  <si>
    <t>C25302332ABF004</t>
  </si>
  <si>
    <t>2025年泰州ToB共享UPF扩容工程</t>
  </si>
  <si>
    <t>对泰州现网2台ToB共享UPF进行软件扩容，共扩容10万PDU会话</t>
  </si>
  <si>
    <t>T25032310ABA006</t>
  </si>
  <si>
    <t>中国移动5G应急预警信息发布系统工程_江苏公司</t>
  </si>
  <si>
    <t>新建31对CBCF：每省设置1对，按照1+1容灾方式部署于“8+X”大区中心；升级全网约160套AMF设备：根据现网AMF POOL挂接5G基站规模大小，每省每POOL选取1对-2对AMF进行升级改造</t>
  </si>
  <si>
    <t>C25302330ABF002</t>
  </si>
  <si>
    <t>2025年扬州ToB共享UPF扩容工程</t>
  </si>
  <si>
    <t>对扬州现网2台ToB共享UPF进行软件扩容，共扩容10万PDU会话软件（2套UPF平分），总计达到20万PDU</t>
  </si>
  <si>
    <t>C25302326ABF002</t>
  </si>
  <si>
    <t>2025年南通ToB共享UPF扩容工程</t>
  </si>
  <si>
    <t>对南通现网2台ToB共享UPF进行软件扩容，共扩容11万PDU会话软件（2套UPF平分），总计达到30万PDU</t>
  </si>
  <si>
    <t>C25302329ABF002</t>
  </si>
  <si>
    <t>2025年盐城ToB共享UPF扩容工程</t>
  </si>
  <si>
    <t>对盐城现网2台ToB共享UPF进行软件扩容，共扩容10万PDU会话软件（2套UPF平分），总计达到20万PDU</t>
  </si>
  <si>
    <t>B25302310CB0002</t>
  </si>
  <si>
    <t>2025年IT云虎踞路59号机房搬迁工程</t>
  </si>
  <si>
    <t>完成IT云虎踞路59号一楼机房设备搬迁利旧，包括5台一体机、27台服务器和配套存储、网络等设备，同时配套建设6台数据中心交换机、9台低端三层交换机等网络设备</t>
  </si>
  <si>
    <t>进行施工费审计，组织进行工程遗留问题处理。</t>
  </si>
  <si>
    <t>C25302328ABF002</t>
  </si>
  <si>
    <t>2025年淮安ToB共享UPF扩容工程</t>
  </si>
  <si>
    <t>对淮安现网2台ToB共享UPF进行软件扩容，共扩容17.7万PDU会话软件（2套UPF平分），总计达到30万PDU</t>
  </si>
  <si>
    <t>设计方案与业务部门确认中</t>
  </si>
  <si>
    <t>C26302325ABF001</t>
  </si>
  <si>
    <t>2026年苏州第一批5G垂直行业专网项目</t>
  </si>
  <si>
    <t>T26032310ABA001</t>
  </si>
  <si>
    <t>中国移动江苏公司应急场景5G核心网异网漫游工程</t>
  </si>
  <si>
    <t>升级现网ToC AMF支持异网漫游功能（江苏一对，安徽一只），新建一对BG支持用户面互联互通</t>
  </si>
  <si>
    <t>B26302310BBA001</t>
  </si>
  <si>
    <t>中国移动江苏公司2026年城域数据网iBNG试点工程</t>
  </si>
  <si>
    <t>全省各区县BRAS共扩容190块MPC智能板卡</t>
  </si>
  <si>
    <t>设备安装调测中</t>
  </si>
  <si>
    <t>C26302326ABF001</t>
  </si>
  <si>
    <t>2026年南通招商局重工5G专网项目</t>
  </si>
  <si>
    <t>在南通招商局重工（江苏）有限公司厂区机房内建设1套专用型边缘UPF设备，系统容量2万PDU、20Gbps</t>
  </si>
  <si>
    <t>设计批复完成</t>
  </si>
  <si>
    <t>C26302332ABF001</t>
  </si>
  <si>
    <t>2026年泰州第一批5G垂直行业专网项目</t>
  </si>
  <si>
    <t>B26302310CA6002</t>
  </si>
  <si>
    <t>2026年IDC网络改造工程（一阶段）统一DPI扩容项目</t>
  </si>
  <si>
    <t>配合南京、南通、盐城三个地市相关IDC机房出口带宽的扩容，同步完成IDC DPI系统配套建设；全省完成6800G带宽处理能力DPI设备及XDR服务器的建设，同时利用下线带宽3930G的DPI处理能力完成现网1600G处理能力DPI设备及XDR服务器的替换</t>
  </si>
  <si>
    <t>设计文本及图纸准备中</t>
  </si>
  <si>
    <t>B26302310CAC001</t>
  </si>
  <si>
    <t>2026年IDC网络改造工程（一阶段）带宽扩容项目</t>
  </si>
  <si>
    <t>完成南京、苏州、南通、盐城、泰州五个地市相关IDC机房出口带宽的调整及扩容，全省新增IDC出口带宽6800G、撤消出口带宽3930G，共计完成出口带宽扩容2870G，同步完成网络及信息安全设备的扩容</t>
  </si>
  <si>
    <t>C26302326ABF002</t>
  </si>
  <si>
    <t>2026年南通第一批5G垂直行业专网项目</t>
  </si>
  <si>
    <t>B26302310BBA002</t>
  </si>
  <si>
    <t>2026年城域数据网（CMNet)一阶段工程</t>
  </si>
  <si>
    <t>IDC汇聚路由器和城域网核心路由器共扩容21套100G板卡license；PSR扩容28块100G板卡</t>
  </si>
  <si>
    <t>C26302324ABF001</t>
  </si>
  <si>
    <t>2026年常州第一批5G垂直行业专网项目</t>
  </si>
  <si>
    <t>C26302325ABF002</t>
  </si>
  <si>
    <t>2026年苏州第二批5G垂直行业专网项目</t>
  </si>
  <si>
    <t>采用大立项精方案模式，共计建设10套专用型边缘UPF设备，后期根据实际项目进展进行精方案的编制、审批和建设</t>
  </si>
  <si>
    <t>C26302324ABF002</t>
  </si>
  <si>
    <t>2026年常州新建ToB共享UPF工程</t>
  </si>
  <si>
    <t>在常州新建一套共享UPF、扩容软件容量16万PDU会话</t>
  </si>
  <si>
    <t>B26302310ABA002</t>
  </si>
  <si>
    <t>中国移动江苏公司人家互联试点配套工程</t>
  </si>
  <si>
    <t>控制面对中兴新通话试点资源池扩容，并在其上部署家庭UDM、家庭AAA、家庭SMF、家庭CHF虚拟测试网元，用户面新建2台UPF测试网元，新建控制面及用户面测试网元与现网toC核心网及CMNET对接，联合搭建人家互联试点网络</t>
  </si>
  <si>
    <t>完成设计批复，开工准备中</t>
  </si>
  <si>
    <t>B26302310BBA004</t>
  </si>
  <si>
    <t>2026年地市分公司城域数据网一期工程</t>
  </si>
  <si>
    <t>全省地市分公司BRAS/SR共扩容2780个10G等效端口</t>
  </si>
  <si>
    <t>B26302310ABB006</t>
  </si>
  <si>
    <t>中国移动2026年虚拟群组话音网（V网）扩容项目_江苏公司</t>
  </si>
  <si>
    <t>新增1.2亿智能网用户容量，新增一键拉起多方语音通话、国漫V网、跨省集团V网、跨省融合V网、固话安全管控等5项新功能，进行34套虚拟化网元搬迁</t>
  </si>
  <si>
    <t>已完成设计派工</t>
  </si>
  <si>
    <t>C26302325ABF003</t>
  </si>
  <si>
    <t>2026年苏州ToB共享UPF扩容工程</t>
  </si>
  <si>
    <t>在苏州新建一套共享UPF、扩容软件容量20万PDU会话</t>
  </si>
  <si>
    <t>C26302326ABF003</t>
  </si>
  <si>
    <t>2026年南通ToB共享UPF扩容工程</t>
  </si>
  <si>
    <t>在南通新建一套共享UPF、扩容软件容量15万PDU会话</t>
  </si>
  <si>
    <t>C26302323ABF001</t>
  </si>
  <si>
    <t>2026年徐州ToB共享UPF扩容工程</t>
  </si>
  <si>
    <t>在徐州新建一套共享UPF、扩容软件容量10万PDU会话</t>
  </si>
  <si>
    <t>C26302321ABF001</t>
  </si>
  <si>
    <t>2026年南京ToB共享UPF扩容工程</t>
  </si>
  <si>
    <t>在南京新建四套共享UPF、扩容软件容量40万PDU会话，以及配套分光和数通设备</t>
  </si>
  <si>
    <t>C26302328ABF001</t>
  </si>
  <si>
    <t>2026年淮安ToB共享UPF扩容工程</t>
  </si>
  <si>
    <t>在淮安新建一套共享UPF、扩容软件容量15万PDU会话</t>
  </si>
  <si>
    <t>C26302329ABF001</t>
  </si>
  <si>
    <t>2026年盐城ToB共享UPF扩容工程</t>
  </si>
  <si>
    <t>在盐城新建一套共享UPF、扩容软件容量16万PDU会话</t>
  </si>
  <si>
    <t>C26302323ABF002</t>
  </si>
  <si>
    <t>2026年徐州第一批5G垂直行业专网项目</t>
  </si>
  <si>
    <t>B25302310AB0001</t>
  </si>
  <si>
    <t>视频语音专线汇聚网络建设工程</t>
  </si>
  <si>
    <t>支撑后端</t>
  </si>
  <si>
    <t>每分公司各新建一对交换机用于视频语音专线本地汇聚</t>
  </si>
  <si>
    <t>R25302310CA7001</t>
  </si>
  <si>
    <t>DNS十二期软件开发项目</t>
  </si>
  <si>
    <t>对集团要求的“自解析内循环”应急保障和规范化域名封堵处置功能、域名急救产品的监控告警功能和完善精准调度产品能力及省内CDN合作客户TTL优先刷新保障和IP地址反向解析产品化支撑功能开展研发改造</t>
  </si>
  <si>
    <t>纯软</t>
  </si>
  <si>
    <t>B25302310CBL001</t>
  </si>
  <si>
    <t>通信网络安全四期扩容项目</t>
  </si>
  <si>
    <t>提升态势感知、合规管控、基础防护三大能力，开展1+6+X防护技术手段的扩容，进行威胁感知分析、安全运营智能体、资产四单一致、动网指令管控、安全基线检查、终端数据保护、可信访问控制等方面建设</t>
  </si>
  <si>
    <t>R25302310CBE002</t>
  </si>
  <si>
    <t>2024-2025年能力中台开发项目</t>
  </si>
  <si>
    <t>聚焦客户，锻造产品、渠道和服务能力，通过数字员工队伍建设、AI能力优化提升、大模型应用场景应用，加速AI+规模突破；加强数据整合和需求挖掘，构建指标数智自助能力，实现政企项目融能支撑</t>
  </si>
  <si>
    <t>R25302310CBJ001</t>
  </si>
  <si>
    <t>2024-2025年企业数据中心开发项目</t>
  </si>
  <si>
    <t>开展企业数据中心的营销服务体系、内部IT治理、AI+赋能生产流程、支撑对外变现等方面的软件开发工作</t>
  </si>
  <si>
    <t>R25302310CBJ002</t>
  </si>
  <si>
    <t>2024-2025年企业数据中心对外数据资源开发项目</t>
  </si>
  <si>
    <t>开展企业数据中心文旅、公安、金融等行业应用模型群、引入高德等内外部数据资源完善基础数据资产体系等方面的软件开发工作</t>
  </si>
  <si>
    <t>B25302310CA3001</t>
  </si>
  <si>
    <t>2025年算力集群服务项目</t>
  </si>
  <si>
    <t>新增算力服务器1466台</t>
  </si>
  <si>
    <t>B25302310CB0001</t>
  </si>
  <si>
    <t>2025年IT云利旧服务器搬迁工程</t>
  </si>
  <si>
    <t>根据IT云机房的整合计划，对腾退机房的515台服务器、7台一体机及相关存储、网络设备等进行搬迁利旧使用，同时配套建设28台数据中心交换机等网络设备</t>
  </si>
  <si>
    <t>B25302310CA6002</t>
  </si>
  <si>
    <t>苏州固网IMS诈骗电话防范系统试点项目</t>
  </si>
  <si>
    <t>在苏州塔园路和园区固话IMS机房增加92台分光设备和5台汇聚设备完成IMS注册类固话的媒体和信令数据采集；在南京江北数据中心机房增加1台汇聚设备，用于接收采集的固话IMS数据，并传送给省通信管理局系统</t>
  </si>
  <si>
    <t>R25302310CA7002</t>
  </si>
  <si>
    <t>周边好生活平台一期软件开发项目</t>
  </si>
  <si>
    <t>依托互联网电视运营平台，面向家庭场景首期新建AI数智助理服务管理模块、商户（社区）信息服务模块、家庭周边服务信息互通模块、用户自控制终端数据管理模块四大核心模块</t>
  </si>
  <si>
    <t>B25302310CA6003</t>
  </si>
  <si>
    <t>基于统一DPI的网络安全数据底座试点项目</t>
  </si>
  <si>
    <t>利旧现网45台通用服务器和12台用户面探针设备，并由中兴公司负责提供14台控制面探针设备、9台交换机和试点软件，在苏州汾湖、园区、塔园路、昆山前进西路、吴江中山和南京浦口高新机房完成基于统一DPI的网络安全数据底座试点系统建设和功能验证</t>
  </si>
  <si>
    <t>已完成全部建设内容，即将竣工验收</t>
  </si>
  <si>
    <t>进行苏州分公司竣工验收</t>
  </si>
  <si>
    <t>R25302310CA7003</t>
  </si>
  <si>
    <t>无锡车路云一体化试点研发环境项目</t>
  </si>
  <si>
    <t>丁峰</t>
  </si>
  <si>
    <t>构建网联信息预警类、协同辅助驾驶类和协同自动驾驶类共3类多种场景的系统验证体系，建成城市道路150公里和高快速路30公里的感知基础设施，实现全域基于5G的车联网专网服务，建立2个边缘节点下沉、1个区域节点</t>
  </si>
  <si>
    <t>已完成割接上线交维，本周现场车联网侧资产核查、审计。</t>
  </si>
  <si>
    <t>B26302310CA700H</t>
  </si>
  <si>
    <t>2026年业务支撑系统ZZKK替换科创节点工程</t>
  </si>
  <si>
    <t>建设不超过1251台服务器及其配套网络设备，满足网络部ZZKK替换需求</t>
  </si>
  <si>
    <t>完成科创节点主设备设计文件评审及设计批复；协调网络设备加电，开始进行本机测试工作。</t>
  </si>
  <si>
    <t>R25302310CBD001</t>
  </si>
  <si>
    <t>2025年互联网业务探针宽带管家系统软件开发项目</t>
  </si>
  <si>
    <t>新增1套应用开发软件，对测速稳定性增强、测速准确性提升、测速安全性及一致性校验、全渠道测速能力支撑、4/5G/WIFI/有线一体化测速能力支撑、测速数据多维度统计分析、家庭组网路由器终端库管理、第三方测速能力引入等能力提升开展功能改造</t>
  </si>
  <si>
    <t>B25302310CAH001</t>
  </si>
  <si>
    <t>高可靠网络安全能力示范二期工程</t>
  </si>
  <si>
    <t>对苏州汾湖数据中心的一体化安全可信防护系统进行扩容，包括安全态势感知系统、僵木蠕检测系统、集群网络抗DDoS系统、安全能力资源池、商用密码管理系统和统一认证与4A平台；新增2台路由器、2台交换机、2台防火墙、2台抗DDOS设备、1台僵木蠕检测设备和12台服务器，并进行功能改造和优化</t>
  </si>
  <si>
    <t>已完成全部建设内容，准备进行交维工作</t>
  </si>
  <si>
    <t>R25302310CBF001</t>
  </si>
  <si>
    <t>2025年业务支撑网系统开发一期项目</t>
  </si>
  <si>
    <t>在支撑网现网基础上进行应用软件开发，包括升级CHBN融合营销支撑能力、强化数据赋能营销体系、加速AI赋能业务支撑、推进综合办公数智转型等相关需求的开发</t>
  </si>
  <si>
    <t>R25302310CA7006</t>
  </si>
  <si>
    <t>2025年智慧家庭服务管理平台软件开发项目</t>
  </si>
  <si>
    <t>开发建设面向用户的智慧家庭服务管理平台，整合各品牌家庭智能设备的协议与规范，用户无需依赖各品牌单独的APP，统一使用移动提供的客户端，实现智能家居控制、场景联动、自动化配置、告警联动、AI服务等功能服务</t>
  </si>
  <si>
    <t>已完成割接上线交维，本周完成转资</t>
  </si>
  <si>
    <t>已完成割接上线交维，已转资</t>
  </si>
  <si>
    <t>R25302310CA7004</t>
  </si>
  <si>
    <t>2025年AI数智助理个人客户端软件开发项目</t>
  </si>
  <si>
    <t>基于周边好生活业务系统为后端系统，开发集观影、个人事务管理、社区服务、购物、旅游、智能家居控制以及语音交互等多种功能于一体的AI数智助理个人客户端</t>
  </si>
  <si>
    <t>R25302310CA7005</t>
  </si>
  <si>
    <t>2025年互联网电视能力提升平台软件开发项目</t>
  </si>
  <si>
    <t>基于现网互联网电视能力提升平台，开发增加智能运营支撑模块，实现家庭客户端服务子系统、AI信息创作子系统、流量投放管理子系统等相关功能</t>
  </si>
  <si>
    <t>B25302310BBC003</t>
  </si>
  <si>
    <t>2025年DCN扩容项目</t>
  </si>
  <si>
    <t>新增26台高端路由器、352台低端三层交换机、2台高端防火墙、50台中低端防火墙、2台WAF、1套网络流量溯源系统；扩容2块数据中心交换机板卡</t>
  </si>
  <si>
    <t>B25302310CA7011</t>
  </si>
  <si>
    <t>2025年异常流量及流量流向分析平台扩容项目</t>
  </si>
  <si>
    <t>异常流量及流量流向分析平台扩容软件一套</t>
  </si>
  <si>
    <t>R25302310CA7007</t>
  </si>
  <si>
    <t>2025年产品全生命周期管理与支撑平台软件开发项目</t>
  </si>
  <si>
    <t>完成2025年产品全生命周期管理与支撑平台软件开发，重点围绕产品管理平台门户、产品全生命周期管理、平台基础能力等方面进行建设，实现产品全生命周期各环节的数字化、智能化，强化对一线营销的支撑赋能</t>
  </si>
  <si>
    <t>B25302310CAB007</t>
  </si>
  <si>
    <t>互联网骨干网抗DDoS攻击系统六期工程_江苏公司</t>
  </si>
  <si>
    <t>该工程升级应用层DDoS攻击防御端网联动能力，扩展新型DDoS攻击防御能力，并在北京、上海等5个骨干节点合计扩容2.6Tbps骨干清洗能力</t>
  </si>
  <si>
    <t>进行三费审计结算</t>
  </si>
  <si>
    <t>B26302310CA700G</t>
  </si>
  <si>
    <t>2026年业务支撑系统ZZKK替换江北节点工程</t>
  </si>
  <si>
    <t>建设不超过1083台服务器及其配套网络设备，满足数智化部、渠道网格运营中心、网络与信息安全管理中心ZZKK替换需求</t>
  </si>
  <si>
    <t>组织完成江北节点紧急需求第一批209台集成方案评审；协调紧急需求第二批主设备到货，并组织相关工程实施。</t>
  </si>
  <si>
    <t>R25302310CBK001</t>
  </si>
  <si>
    <t>2025年业务支撑运营管理平台开发项目</t>
  </si>
  <si>
    <t>从架构演进、监控能力演进、运维管理能力提升、数智化运营能力提升4方面，对业务支撑运营管理平台相关应用软件功能升级改造</t>
  </si>
  <si>
    <t>跟踪软件系统运行情况。</t>
  </si>
  <si>
    <t>B25302310CBF00E</t>
  </si>
  <si>
    <t>上网日志集中存储平台六期工程_江苏公司</t>
  </si>
  <si>
    <t>新增基于DNS日志的每日域名上报功能，扩充查询及反馈字段，完善常见问题的溯源定位及排查能力；同时提升日志查询并发量及响应时间等性能指标</t>
  </si>
  <si>
    <t>R25302310CBF002</t>
  </si>
  <si>
    <t>2025年电子渠道运营支撑开发一阶段项目</t>
  </si>
  <si>
    <t>在电渠系统现网基础上进行应用软件开发，包括提升统一登录体验、建立性能治理机制、推进营销资源券化等电渠能力的开发</t>
  </si>
  <si>
    <t>B25302310CA6005</t>
  </si>
  <si>
    <t>2025年信令监测系统采集平台改造工程</t>
  </si>
  <si>
    <t>在信令监测系统现网基础上进行改造，扩容3套插卡式汇聚设备和34块增强业务卡，将信令数据处理后送给使用方系统</t>
  </si>
  <si>
    <t>基本完成硬件实施工作</t>
  </si>
  <si>
    <t>B25302310CBG001</t>
  </si>
  <si>
    <t>办公楼宇数字建维孪生平台二期扩容工程</t>
  </si>
  <si>
    <t>完成全省16栋办公楼宇的数据采集和建模工作，改造完善9个BIM软件模型，完成区县级楼宇资产信息的平台纳管；升级基于数字孪生技术的智慧楼宇底座模型，融合门禁、监控等多维数据，对楼宇节能、工位覆盖优化等场景进行模拟仿真，优化数据传输设计，逐步实现全省办公楼宇的集中运营</t>
  </si>
  <si>
    <t>软件部署中</t>
  </si>
  <si>
    <t>R25302310CA700D</t>
  </si>
  <si>
    <t>2025年互联网电视业务管理平台（HDC）及视联网业务融合运营管理平台一阶段软件开发项目</t>
  </si>
  <si>
    <t>基于现网互联网电视业务管理平台（HDC）及视联网业务融合运营管理平台完成软件功能升级改造开发，包括HDC平台改造开发增值订购及用户运营、数据分析及驾驶舱、基础能力及多形态支撑等三个模块，视联网平台改造开发AI智能眼镜流程管理、CH数据资产及设备管理功能优化、统计分析报表和功能优化等三个模块</t>
  </si>
  <si>
    <t>R25302310CBD002</t>
  </si>
  <si>
    <t>2025年云资源池运营质量分析系统开发项目</t>
  </si>
  <si>
    <t>在云资源池运营质量分析系统现网基础上进行应用软件开发，构建移动大云、华为合营云、省内自建云等公有云重客业务分析支撑能力</t>
  </si>
  <si>
    <t>B25302310CA701Q</t>
  </si>
  <si>
    <t>2025年业务支撑系统老旧设备替换工程</t>
  </si>
  <si>
    <t>对业务支撑系统老旧设备进行替换，建设服务器1037台及其配套存储、网络设备、安全设备和虚拟化软件</t>
  </si>
  <si>
    <t>协助网信安进行4A资源申请和部署工作。</t>
  </si>
  <si>
    <t>R25302310CA700E</t>
  </si>
  <si>
    <t>2025年大语音业务运营管理平台建设项目（软件部分）</t>
  </si>
  <si>
    <t>建设大语音业务运营管理平台，实现精准AI实时风控监测，以“风险预判-精准拦截-深度治理”全链路管控为核心，覆盖注册类、非注册类语音业务事前、事中、事后端到端管理流程</t>
  </si>
  <si>
    <t>B26302310CA700F</t>
  </si>
  <si>
    <t>2026年业务支撑系统ZZKK替换江浦节点工程</t>
  </si>
  <si>
    <t>建设不超过193台服务器及其配套网络设备，满足产品运营中心ZZKK替换需求</t>
  </si>
  <si>
    <t>协助规划部完成立项变更工作，并商产品运营中心确定初步实施方案。</t>
  </si>
  <si>
    <t>B26302310CA700E</t>
  </si>
  <si>
    <t>2026年业务支撑系统ZZKK替换软件节点工程</t>
  </si>
  <si>
    <t>扩容不超过157个数据库节点许可和378个虚拟化软件许可，满足业务支撑系统国产化替换需求</t>
  </si>
  <si>
    <t>协助规划部完成立项变更工作，同步协调设计院进行设计变更工作。</t>
  </si>
  <si>
    <t>B25302310CAB008</t>
  </si>
  <si>
    <t>2025年涉诈域名处置能力建设硬件改造项目</t>
  </si>
  <si>
    <t>升级DNS设备功能，支持100万个黑名单域名和10万个黑名单域处置功能，结合DNS系统负荷按需进行硬件扩容和存量老旧设备替代（本项目为涉诈域名处置能力建设的硬件改造部分）</t>
  </si>
  <si>
    <t>R25302310CAB004</t>
  </si>
  <si>
    <t>2025年涉诈域名处置能力建设软件开发项目</t>
  </si>
  <si>
    <t>升级DNS设备功能，支持100万个黑名单域名和10万个黑名单域处置功能（本项目为涉诈域名处置能力建设的软件开发部分，硬件扩容与替换在硬件改造项目中完成）</t>
  </si>
  <si>
    <t>R25302310CBF003</t>
  </si>
  <si>
    <t>2025年业务支撑网系统开发二阶段项目</t>
  </si>
  <si>
    <t>在业务支撑网现网基础上进行应用开发，包括升级CHBN融合营销支撑能力、强化数据赋能营销体系、加速AI赋能业务支撑、推进综合办公智能转型等应用开发</t>
  </si>
  <si>
    <t>R25302310CBF004</t>
  </si>
  <si>
    <t>2025年电子渠道软件开发项目</t>
  </si>
  <si>
    <t>在电子渠道系统现网基础上进行应用软件开发，完成电子渠道系统所有数据库的国产化改造、用户异动洞察和规范服务质量能力建设</t>
  </si>
  <si>
    <t>B25302310CA6007</t>
  </si>
  <si>
    <t>2025年中国移动互联网国内网间出口九期江苏节点配套网间流控项目</t>
  </si>
  <si>
    <t>在南京直联点同步扩容DPI两套，覆盖电信方向、联通方向新增链路各5*100G</t>
  </si>
  <si>
    <t>进行设计和施工费审计结算</t>
  </si>
  <si>
    <t>R25302310CA700H</t>
  </si>
  <si>
    <t>2025年智慧健康服务二级平台软件开发项目</t>
  </si>
  <si>
    <t>完成智慧健康服务二级平台软件开发，打通医院挂号、在线问诊能力，提供AI问诊、预约挂号等健康服务，围绕守护、睡眠、跌倒、陪伴四大场景，基于分级服务调度体系、自有通信数据分析，打造适老化亲情守护模型，打造大屏语音交互、小屏服务入口，构建康养产品商城、呼叫服务中心，形成江苏移动专属的智慧健康生活平台</t>
  </si>
  <si>
    <t>R25302310CA700G</t>
  </si>
  <si>
    <t>2025年数字空间业务平台软件开发项目</t>
  </si>
  <si>
    <t>完成数字空间业务平台软件开发，新增建设M-Space资产汇聚和XR运营管理两大模块，打造数字藏品、XR大空间等标准化产品服务，打通内容创作、展示及交易的全链路，打造公司数字内容生态；面向B端提供元宇宙XR、数字资产发行等标准化解决方案</t>
  </si>
  <si>
    <t>B25302310CA701W</t>
  </si>
  <si>
    <t>2025年异常流量及流量流向分析平台二期扩容项目</t>
  </si>
  <si>
    <t>平台扩容99万flow流量采集能力、22万flow数据挖掘能力、100万flow流量转发能力、5台报表服务器</t>
  </si>
  <si>
    <t>协调设计院进行设计变更流程，协调网络部确定报表服务器组网和工程实施方案。</t>
  </si>
  <si>
    <t>R25302310CBD003</t>
  </si>
  <si>
    <t>2025年智慧机房运营管理系统开发项目</t>
  </si>
  <si>
    <t>建设智慧机房运营管理系统，拉通机房运营管理各环节并整合EPMS、EOMS、故障管理系统等现有系统流程，实现系统与流程的高效协同，开发机房进出管理、机房内操作管控数智化、机房内异常识别自动化、汇聚机房全景可视化、打造AI智能体等能力</t>
  </si>
  <si>
    <t>B25302310CA6006</t>
  </si>
  <si>
    <t>2025年信令监测系统语音采集改造工程</t>
  </si>
  <si>
    <t>在信令监测系统现网基础上，配套核心网ISBC、2G语音等网元改造，同步调整语音信令采集</t>
  </si>
  <si>
    <t>进行实施工作</t>
  </si>
  <si>
    <t>R25302310CBF005</t>
  </si>
  <si>
    <t>2025年数智助手及智宇平台开发项目</t>
  </si>
  <si>
    <t>在数智助手现网基础上新建员工个人助手，增加灵犀助手、网络运维助手应用场景；在智宇平台基础上增强大模型开发工具链和AI基座能力</t>
  </si>
  <si>
    <t>B25302310CA701S</t>
  </si>
  <si>
    <t>2025年大语音业务运营管理平台建设项目（硬件部分）</t>
  </si>
  <si>
    <t>本周完成本调及DCN接入（总体完成率40%）</t>
  </si>
  <si>
    <t>B25302310CAB00A</t>
  </si>
  <si>
    <t>2025年IT域商用密码应用项目</t>
  </si>
  <si>
    <t>重点开展IT域4A系统及号卡集中化渠道支撑系统商用密码应用改造、IT域商用密码管理平台建设等内容，保障相关业务系统顺利通过商用密码应用安全性评估，满足两部委考核要求</t>
  </si>
  <si>
    <t>已完成硬件部署，完工准备中</t>
  </si>
  <si>
    <t>R25302310CBG001</t>
  </si>
  <si>
    <t>2025年管理信息系统软件开发项目</t>
  </si>
  <si>
    <t>面向公司管理信息领域中的战略、办公、党建、财务、人力、审计、巡视、供应链、工会等领域相关系统进行软件升级改造</t>
  </si>
  <si>
    <t>R25302310CBD004</t>
  </si>
  <si>
    <t>2025年网管系统运营支撑软件开发一阶段项目</t>
  </si>
  <si>
    <t>在网管系统现网基础上进行应用软件开发，包括政企市场单点版FTTO-H业务开通流程编排、家客市场装维电子确认单、企宽接口选址、基站退服故障预判等功能优化</t>
  </si>
  <si>
    <t>B25302310CBD002</t>
  </si>
  <si>
    <t>2025年自动拨测系统扩容项目</t>
  </si>
  <si>
    <t>在自动拨测系统现网基础上进行扩容，包括新增48台拨测设备和搬迁利旧部分现网拨测设备，满足互联网业务质量分析需求</t>
  </si>
  <si>
    <t>拨测设备部署中</t>
  </si>
  <si>
    <t>R25302310CBF008</t>
  </si>
  <si>
    <t>2025年和力云能力开放平台日常优化软件开发项目</t>
  </si>
  <si>
    <t>基于现有平台完成软件功能升级改造的开发，包括现有业务流程升级改造、建设事件营销能力、提升投诉处理数智化支撑能力、打造商机单业务流程四个方面</t>
  </si>
  <si>
    <t>已完成全部建设内容，准备进行验收准备</t>
  </si>
  <si>
    <t>已完成全部建设内容，完成转资</t>
  </si>
  <si>
    <t>R25302310CAB005</t>
  </si>
  <si>
    <t>2025年移动网流量安全分析系统软件开发项目</t>
  </si>
  <si>
    <t>重点开展省端移动网流量安全监测管理平台和流量安全监测处置能力升级改造，包含省端流量安全监测处置平台升级、涉诈APP预警处置能力升级、新增高质量专项数据对接功能、新增MD5封堵模块、升级流量实时采集及数据提取还原等能力</t>
  </si>
  <si>
    <t>R25302310CBF006</t>
  </si>
  <si>
    <t>2025年电子渠道运营支撑软件开发二阶段项目</t>
  </si>
  <si>
    <t>在电子渠道系统现网基础上进行应用软件开发，包括营销活动、微店能力及营销卡券等相关功能开发</t>
  </si>
  <si>
    <t>B25302310CAB00C</t>
  </si>
  <si>
    <t>2025年城域网扩容互联网信息安全管理系统同步改造项目</t>
  </si>
  <si>
    <t>按照2025年城域数据网（CMNet）核心路由器扩容项目扩容后的上行带宽同步扩容光放大器、一分四分光器和汇聚分流设备，以实现对互联网专线流量全量管控，满足两部委考核要求</t>
  </si>
  <si>
    <t>R25302310CAB006</t>
  </si>
  <si>
    <t>2025年防电信网络诈骗系统反诈综合管理软件开发项目</t>
  </si>
  <si>
    <t>根据集团公司反诈平台技术要求进行系统功能优化与改造，包括集团联动处置功能升级、手机号码治理、固话号码治理、地市功能模块部署、DeepSeek大模型应用、整体系统迁移及国产化升级等</t>
  </si>
  <si>
    <t>B25302310CAB00D</t>
  </si>
  <si>
    <t>2025年互联网暴露面风险管控扩容项目</t>
  </si>
  <si>
    <t>重点开展网络空间资产探测能力扩容和互联网恶意网址监测拦截报送能力建设，提升互联网暴露面安全管控能力</t>
  </si>
  <si>
    <t>R25302310CBD007</t>
  </si>
  <si>
    <t>2025年网管系统软件开发项目</t>
  </si>
  <si>
    <t>在网管系统现网基础上进行应用软件开发，重点推进门户入口收敛、打造各领域智能体18个、沉淀原子能力130个，推进网管系统向AI原生网管目标架构演进</t>
  </si>
  <si>
    <t>R25302310CA700K</t>
  </si>
  <si>
    <t>2025年5G新通话业务运营管理平台软件开发项目</t>
  </si>
  <si>
    <t>基于现有平台完成5G新通话AI智能体应用、用户业务功能升级、管理后台等三大功能模块的软件开发升级</t>
  </si>
  <si>
    <t>R25302310CBD005</t>
  </si>
  <si>
    <t>2025年集客接入侧设备统一管理平台软件开发项目</t>
  </si>
  <si>
    <t>在集客接入侧设备统一管理平台现网基础上进行应用软件开发，实现FTTO接入设备管理、专线卫士接入设备管理、集客语音安全管理和国产化数据库改造等功能</t>
  </si>
  <si>
    <t>R25302310CA700R</t>
  </si>
  <si>
    <t>2025年权益中心产品支撑平台日常优化软件开发项目</t>
  </si>
  <si>
    <t>基于现有平台完成软件功能升级改造的开发，包括集团福袋业务模型升级、集团福袋场景化功能建设、集团福袋商城升级及权益业务底座能力升级四个方面</t>
  </si>
  <si>
    <t>R25302310CA700S</t>
  </si>
  <si>
    <t>2025年权益中心用户服务平台日常优化软件开发项目</t>
  </si>
  <si>
    <t>基于现有平台完成软件功能升级改造的开发，包括权益多模态业务体系打造、属地商户经营与平台协作优化、智能能力与数智总线锻造、营销可视化编排拓展、三位一体监控平台建设及技术底座夯实六个方面</t>
  </si>
  <si>
    <t>R25302310CA700T</t>
  </si>
  <si>
    <t>2025年通信+金融业务平台日常优化软件开发项目</t>
  </si>
  <si>
    <t>基于现有平台完成软件功能升级改造的开发，包括保险业务智能风控与运营升级、超级SIM生态化运营服务能力建设、平台基础支撑能力升级、产品矩阵创新与精准运营赋能、数据安全与合规管理体系强化、跨终端服务能力优化与拓展六个方面</t>
  </si>
  <si>
    <t>R25302310CA700L</t>
  </si>
  <si>
    <t>2025年家庭云电脑运营管理平台日常优化软件项目</t>
  </si>
  <si>
    <t>基于现有平台完成软件功能升级改造的开发，包括云电脑屏幕管理功能优化、跨生态跨终端AI交互管理、云电脑计费管理升级；Windows应用智能感知和运营、应用及权益运营升级、节点级和单用户级的质量监控和告警等方面</t>
  </si>
  <si>
    <t>R25302310CA700P</t>
  </si>
  <si>
    <t>2025年视联网业务融合运营管理平台日常优化二阶段软件开发项目</t>
  </si>
  <si>
    <t>基于现有平台完成软件功能升级改造的开发，包括AI智能眼镜流程管理、日常报表统计分析优化、系统管理三个方面</t>
  </si>
  <si>
    <t>R25302310CA700N</t>
  </si>
  <si>
    <t>2025年双屏SDK平台日常优化软件开发项目</t>
  </si>
  <si>
    <t>基于现有平台完成软件功能升级改造的开发，包括微短剧业务体系建设、智能营销体系、智慧运营能力、平台自主可控四个方面</t>
  </si>
  <si>
    <t>R25302310CA700M</t>
  </si>
  <si>
    <t>2025年省级数字家庭管理平台（业务运营部分）日常优化软件开发项目</t>
  </si>
  <si>
    <t>基于现有平台完成软件功能升级改造的开发，包括升级智能组网管理、智能终端管理、家庭潜客模型管理三个方面</t>
  </si>
  <si>
    <t>R25302310CBD006</t>
  </si>
  <si>
    <t>2025年玄武智慧运维平台软件开发项目</t>
  </si>
  <si>
    <t>在ICT统一接入网管平台现网基础上进行应用软件开发，建设玄武智慧运维平台，完成对外基础能力提升、全省ICT项目运维管理能力开发和数据库国产化改造等相关功能开发，实现内外部ICT接入网管能力融合发展</t>
  </si>
  <si>
    <t>B25302310CBL002</t>
  </si>
  <si>
    <t>2025年营业终端安全管控系统项目</t>
  </si>
  <si>
    <t>重点开展营业终端安全管控系统管理控制中心、准入控制网关和终端客户端软件建设，提升营业终端安全管控水平</t>
  </si>
  <si>
    <t>本周加电完成，下周设备安装调试。</t>
  </si>
  <si>
    <t>R25302310CA700Q</t>
  </si>
  <si>
    <t>2025年互联网电视业务管理平台（HDC）日常优化二阶段软件开发项目</t>
  </si>
  <si>
    <t>基于现有平台完成软件功能升级改造的开发，包括增值订购管理、数据分析、合作方评价、客服支撑、基础能力、用户运营及融合营销七个方面</t>
  </si>
  <si>
    <t>B25302310CAG002</t>
  </si>
  <si>
    <t>集中化彩铃系统四期工程_江苏公司</t>
  </si>
  <si>
    <t>呼叫节点硬件规模扩容4512万用户、软件许可扩容3053万用户，新增和优化基于终端DC能力的互动视频彩铃、1080P高清视频彩铃自适应播放等10项软件功能</t>
  </si>
  <si>
    <t>R25302310CA700U</t>
  </si>
  <si>
    <t>DNS十三期扩容软件开发项目</t>
  </si>
  <si>
    <t>为满足集团公司关键信息基础设施国产化替代工作要求，对现有系统功能软件进行适配改造，完成国产数据库对开源数据库平滑替代</t>
  </si>
  <si>
    <t>本周完成设计批复</t>
  </si>
  <si>
    <t>完成设计批复</t>
  </si>
  <si>
    <t>B26302310000001</t>
  </si>
  <si>
    <t>中国移动江苏公司2026年无线AI智能融合板数据分析处理单元项目</t>
  </si>
  <si>
    <t>在南京建设1套无线OMC（操作维护中心）AI智能融合板数据分析处理单元</t>
  </si>
  <si>
    <t>已完成全部建设内容，正在进行4A接入</t>
  </si>
  <si>
    <t>B25302310CB0004</t>
  </si>
  <si>
    <t>2025年六合机房老旧网络设备替换工程</t>
  </si>
  <si>
    <t>为六合机房设备改造，包括老旧网络设备的替换、存储备份网络双节点改造、13台GPU服务器搬迁到仪征机房搭建AI应用测试与开发环境等相关改造</t>
  </si>
  <si>
    <t>完成22台leaf扩容入网及控制器纳管，以及相关主机设备迁移割接。</t>
  </si>
  <si>
    <t>B25302310CAH007</t>
  </si>
  <si>
    <t>通信网商用密码管理系统二期工程_江苏公司</t>
  </si>
  <si>
    <t>完善总部密码管理平台，对网络部关基及重要系统，就远程管理通道、重要数据存储、网络传输、身份鉴别四个场景开展商用密码改造</t>
  </si>
  <si>
    <t>本周完成硬件割接入网</t>
  </si>
  <si>
    <t>B25302310CBD003</t>
  </si>
  <si>
    <t>2025年网管网全流量分析系统扩容项目</t>
  </si>
  <si>
    <t>重点开展网管网全流量分析平台日志存储与解析性能扩容、全流量探针设备扩容，完善流量检测与分析体系，提升网管网整体安全威胁检测能力</t>
  </si>
  <si>
    <t>本周开展设备安装调试</t>
  </si>
  <si>
    <t>R25302310CA700Y</t>
  </si>
  <si>
    <t>2025年省专协同平台日常优化软件开发项目</t>
  </si>
  <si>
    <t>基于现有平台完成软件功能升级改造的开发，包括个人业务生态与数字资产创新升级、政企业务全场景服务能力提升、智能风控体系升级、平台效能与运营能力提升四个方面</t>
  </si>
  <si>
    <t>R25302310CA700X</t>
  </si>
  <si>
    <t>2025年12580平台日常优化软件开发项目</t>
  </si>
  <si>
    <t>基于现有平台完成软件功能升级改造的开发，包括新产品引入、平台能力升级、省公司个性化支撑、数智化转型及安全合规五个方面</t>
  </si>
  <si>
    <t>R25302310CBF009</t>
  </si>
  <si>
    <t>2025年数智云原生软件开发项目</t>
  </si>
  <si>
    <t>在B域系统现网基础上进行软件开发，包括服务入口层11个专题、业务能力层12个专题、数智底座层5个专题、AI原生基础设施7个专题的功能开发</t>
  </si>
  <si>
    <t>跟踪合同签署情况。</t>
  </si>
  <si>
    <t>R25302310CBF00A</t>
  </si>
  <si>
    <t>2025年业务支撑网系统软件开发三阶段项目</t>
  </si>
  <si>
    <t>在支撑网现网基础上进行软件开发，包括市场领域7类需求、政企领域4类需求、数智能力及其他领域4类需求的功能开发</t>
  </si>
  <si>
    <t>R25302310CA700V</t>
  </si>
  <si>
    <t>2025年互联网电视运营能力提升平台日常优化软件开发项目</t>
  </si>
  <si>
    <t>基于现有平台完成软件功能升级改造的开发，包括泛屏统一推荐、微细分运营、AI模型接入、泛终端融合、融媒体平台、AI统一播放器、画质增强七个方面</t>
  </si>
  <si>
    <t>R25302310CAB00A</t>
  </si>
  <si>
    <t>2025年资产安全管理平台软件开发扩容项目</t>
  </si>
  <si>
    <t>重点开展资产探测部省接口改造扩容、资产管理模型升级、资产数据质检改造扩容等能力建设，提升漏洞及恶意IP涉及资产的快速排查和定位能力</t>
  </si>
  <si>
    <t>R25302310CAB009</t>
  </si>
  <si>
    <t>2025年网络安全态势感知平台软件开发扩容项目</t>
  </si>
  <si>
    <t>重点开展部侧安全中台与部侧安全态势感知平台上报、态势全流量采集能力、部侧溯源平台全网联动升级改造等能力建设，通过智能化手段提高安全事件告警的溯源、处置及时性与准确性</t>
  </si>
  <si>
    <t>R25302310CA700W</t>
  </si>
  <si>
    <t>2025年互联网电视智慧运营分析平台项目日常优化软件开发项目</t>
  </si>
  <si>
    <t>基于现有平台完成软件功能升级改造的开发，包括全屏智能推荐能力、AIGC能力建设、搜推智能体、长尾推荐算法优化四个方面</t>
  </si>
  <si>
    <t>R25302310CBF007</t>
  </si>
  <si>
    <t>2025年支付金融能力平台日常优化软件开发项目</t>
  </si>
  <si>
    <t>基于现有平台完成软件功能升级改造的开发，包括缴费充值收银台新支付通道引入、新渠道/平台接入开发支撑、多形态收银台开发支撑、省内易充值业务能力建设、支付收银台用户体验优化、营销活动开发支撑、金融账户流程优化提升、金融风控、系统强化等八个方面</t>
  </si>
  <si>
    <t>R25302310CAB007</t>
  </si>
  <si>
    <t>2025年互联网恶意流量防护系统软件开发扩容项目</t>
  </si>
  <si>
    <t>重点开展应用层DDoS攻击检测模块扩容升级，包括新增配置接收能力、新增应用层指令下发接口、新增应用层DDoS攻击监测上报能力、新增应用层DDoS攻击快速检测智能模型等能力</t>
  </si>
  <si>
    <t>设计编制中</t>
  </si>
  <si>
    <t>R25302310CAB008</t>
  </si>
  <si>
    <t>2025年僵木蠕分析系统软件开发扩容项目</t>
  </si>
  <si>
    <t>重点开展僵木蠕前端设备检测能力、互联网僵木蠕管理平台能力、物联网僵木蠕管理平台能力等升级改造，强化网络安全技术保障，完善木马和僵尸网络监测与处置能力</t>
  </si>
  <si>
    <t>提交PMS设计会审</t>
  </si>
  <si>
    <t>R25302310CAB00B</t>
  </si>
  <si>
    <t>2025年行业端口智能管控系统建设项目</t>
  </si>
  <si>
    <t>对现有行业端口管控平台进行升级替代，通过人工智能分析能力，应用文本意图自动分析策略，训练适用于不同类型行业端口短信识别模型，实现数据对接与转发、智能分析研判、模型管理和标注、要素管理等功能，精准、高效、智能识别和拦截诈骗、营销等垃圾信息</t>
  </si>
  <si>
    <t>B25302310CAB009</t>
  </si>
  <si>
    <t>2025年跨境数据风险分析项目</t>
  </si>
  <si>
    <t>根据省通信管理局考核和加分要求，建设跨境流量风险分析能力、跨境数据风险分析能力，对苏州、无锡、常州等地区城域网跨境流量进行监测和风险分析，并将监测分析的风险事件报送省管局平台，以提升跨境数据安全管控能力</t>
  </si>
  <si>
    <t>B25302310CAB00B</t>
  </si>
  <si>
    <t>2025年网络安全漏洞管理平台扩容项目</t>
  </si>
  <si>
    <t>重点开展网络安全漏洞管理平台功能扩容升级及考核分析探针扩容建设，满足工信部考核中关于上报数据及时性、排查范围完整性、修复加固有效性等要求，提升安全管控能力</t>
  </si>
  <si>
    <t>已经完成全部硬件工作，正在进行软件部署</t>
  </si>
  <si>
    <t>R25302310CA700Z</t>
  </si>
  <si>
    <t>2025年12580语音平台软件开发项目</t>
  </si>
  <si>
    <t>对12580业务平台系统改造升级，实现12580语音门户的重构和智能语音能力建设</t>
  </si>
  <si>
    <t>B25302310CA6008</t>
  </si>
  <si>
    <t>2025年信令监测系统采集扩容工程</t>
  </si>
  <si>
    <t>在信令监测系统现网基础上同步核心网进行扩容，包括新增苏州城南机房的采集、网络云七期码流回传、广电信令采集和IMS域信令采集扩容等</t>
  </si>
  <si>
    <t>准备设计批复</t>
  </si>
  <si>
    <t>B25302310CBL003</t>
  </si>
  <si>
    <t>IT网络安全五期扩容项目</t>
  </si>
  <si>
    <t>重点建设5G双域专网安全网关、自动化攻击验证、基线配置检测、安全智能体工具平台等能力，开展账号角色权限矩阵、涉敏行为管控、AI能力融合、安全运营门户、安全日志降噪、合规检测能力提升、数据资产安全管理等方面扩容改造</t>
  </si>
  <si>
    <t>已完成一体化派工</t>
  </si>
  <si>
    <t>R25302310CBD008</t>
  </si>
  <si>
    <t>2025年网管系统运营支撑软件开发二阶段项目</t>
  </si>
  <si>
    <t>在网管系统现网基础上进行定制软件开发，满足政企业务、家客业务、网络优化、网络资源管理、故障监控调度和数据共享分析等网管支撑需求</t>
  </si>
  <si>
    <t>B25302310CAB00U</t>
  </si>
  <si>
    <t>IMS诈骗电话防范系统六期工程_江苏公司</t>
  </si>
  <si>
    <t>扩容用户0.3亿，新增和优化国内漫出用户来话处置、告警、安全管控等9项软件功能，并对部分非自主可控节点进行自主可控改造</t>
  </si>
  <si>
    <t>B26302310CA6001</t>
  </si>
  <si>
    <t>2026年信令监测系统码流回传改造工程</t>
  </si>
  <si>
    <t>配套核心网网络云七期，在科创中心机房建设信令监测系统码流回传相关设备</t>
  </si>
  <si>
    <t>硬件施工中</t>
  </si>
  <si>
    <t>B25302310CBD001</t>
  </si>
  <si>
    <t>2025年家集客支撑综合调度中心配套系统建设项目</t>
  </si>
  <si>
    <t>在江北科创中心新办公场地完成基本装修的基础上实施相关系统的配套建设，包括定制化监控坐席、LED大屏系统、声讯系统等配套设施</t>
  </si>
  <si>
    <t>B26302310CA6003</t>
  </si>
  <si>
    <t>2026年信令监测系统服务器搬迁一阶段工程</t>
  </si>
  <si>
    <t>对515台服务器进行搬迁利旧，满足南京、苏州、无锡等重点城市的信令监测系统HTTPS、通用类单据取消合并需求</t>
  </si>
  <si>
    <t>完成第二阶段300余台利旧服务器上架施工及加电测试，开始进行系统集成工作。</t>
  </si>
  <si>
    <t>B25302310CAB00E</t>
  </si>
  <si>
    <t>垃圾短信治理省侧系统十期扩容项目</t>
  </si>
  <si>
    <t>根据工信部与集团公司最新要求对垃圾短信治理省侧系统进行改造，实现垃短治理系统预留号码识别通配符策略、端口短信报备信息鉴权、增强研判处置等功能系统拦截等功能</t>
  </si>
  <si>
    <t>B25302310CA701R</t>
  </si>
  <si>
    <t>2025年信令监测系统合成层服务器利旧工程</t>
  </si>
  <si>
    <t>利旧191台服务器，对信令监测系统合成服务器进行扩容</t>
  </si>
  <si>
    <t>协调网络部协助补测安全测试工作。</t>
  </si>
  <si>
    <t>B26302310CAB001</t>
  </si>
  <si>
    <t>2026年防火墙替换工程</t>
  </si>
  <si>
    <t>新建10台防火墙，对现网防火墙进行替换</t>
  </si>
  <si>
    <t>R26302310CBJ001</t>
  </si>
  <si>
    <t>2026年DaaS数据设施及应用开发项目</t>
  </si>
  <si>
    <t>开展企业数据中心数据架构重构、大数据平台技术架构演进、属地深耕能力提升、品质管理数智能力新增、新型融合诈骗防控、支撑对外变现等方面的软件开发工作</t>
  </si>
  <si>
    <t>B26302310BA4004</t>
  </si>
  <si>
    <t>中国移动江苏公司传输小型化SPN设备管控一体OMC工程</t>
  </si>
  <si>
    <t>在省IT云申请虚拟机资源，部署小型化SPN设备的集中管控一体OMC系统软件，且北向与接入侧设备管理及激活系统互通，实现统一管控</t>
  </si>
  <si>
    <t>R26302310CBF001</t>
  </si>
  <si>
    <t>2026年电子渠道支撑软件开发一阶段项目</t>
  </si>
  <si>
    <t>在电子渠道系统现网基础上进行应用开发，包括业务办理标准化与智能化、敏捷活动上线能力、卡券与AI智投联动等业务能力的开发</t>
  </si>
  <si>
    <t>B25302310CA6004</t>
  </si>
  <si>
    <t>2025年上网日志系统服务器搬迁工程</t>
  </si>
  <si>
    <t>利旧40台服务器，对上网日志系统合成服务器进行扩容</t>
  </si>
  <si>
    <t>协调网络部协助补测安全测试工作；组织进行</t>
  </si>
  <si>
    <t>B25302310CAB00T</t>
  </si>
  <si>
    <t>高频骚扰电话防范系统四期工程_江苏公司</t>
  </si>
  <si>
    <t>扩容用户2.32亿，新增和优化闪信提醒、来电防护、移动安全管家互通等15项软件功能，并对部分非自主可控节点进行自主可控改造。</t>
  </si>
  <si>
    <t>本周开展数据配置</t>
  </si>
  <si>
    <t>B26302310CAB002</t>
  </si>
  <si>
    <t>网间虚假主叫监控系统新功能改造项目</t>
  </si>
  <si>
    <t>对现网华为网间虚假主叫监控平台系统进行软件功能改造，实现支持天通卫星业务VLR可配置功能、支持天通卫星业务放通可配置功能</t>
  </si>
  <si>
    <t>B26302310CAB004</t>
  </si>
  <si>
    <t>2026年城域网扩容互联网信息安全管理系统同步改造一阶段项目</t>
  </si>
  <si>
    <t>按照2026年城域数据网（CMNet）一阶段建设项目扩容后的上行带宽扩容光放大器、一分四分光器、汇聚分流及网信安设备，以实现对互联网专线流量全量管控，满足两部委考核要求</t>
  </si>
  <si>
    <t>正在进行项目查勘</t>
  </si>
  <si>
    <t>B26302310CAI001</t>
  </si>
  <si>
    <t>2026年江苏量子密码服务中心项目</t>
  </si>
  <si>
    <t>建设省市两级量子密码服务中心，计划采用异厂家异构方式布局，市级密码服务中心对接量子城域网用户站的QKR设备，接入量子网络，为用户提供量子密钥分发服务，并配合密码模块或密码设备提供密码运算服务；省级密码服务中心为全省提供“普安”加密场景业务，同时作为市级密码服务中心异局址备用节点</t>
  </si>
  <si>
    <t>B26302310ABA001</t>
  </si>
  <si>
    <t>中国移动江苏公司苏州低空经济技术试验网核心网工程</t>
  </si>
  <si>
    <t>新建用户面UPF、SPF网元各1套，与无线专业和业务平台专业联合搭建苏州低空经济技术试验网</t>
  </si>
  <si>
    <t>R26302310CA9001</t>
  </si>
  <si>
    <t>2026年AI终端管理平台软件开发项目</t>
  </si>
  <si>
    <t>重点聚焦AI终端管理APP、平台底座和AI泛终端专属能力三大模块建设：平台底座模块实施多协议适配、标准物模型构建，打造跨端场景联动引擎；AI泛终端专属能力模块重构AI眼镜、戒指、玩具三大软硬一体化产品；APP模块依托终端管理APP构建统一用户入口，全面贯通多模态交互、跨品类终端智控与个人数字资产空间</t>
  </si>
  <si>
    <t>等待设计框架生效后设计派工</t>
  </si>
  <si>
    <t>R26302310CA9002</t>
  </si>
  <si>
    <t>2026年DaaS数据设施苏州数据流通利用数联网软件开发项目</t>
  </si>
  <si>
    <t>完成2026年DaaS数据设施苏州数据流通利用数联网软件开发项目，重点建设数联网区域功能节点和数联网区域流通利用平台，建设数据流通利用标准化基础能力，实现接入连接器的接入、控制和管理，建设服务全苏州的数据流通利用基础设施，推动数据互联互通。</t>
  </si>
  <si>
    <t>B26302310CA6007</t>
  </si>
  <si>
    <t>2026年CMNet流量监控平台一期工程</t>
  </si>
  <si>
    <t>DPI扩容新增2.4T链路监测能力（淮安1.2T，泰州、扬州、镇江各0.4T），新建20台XDR话单服务器、2台平台管理服务器等</t>
  </si>
  <si>
    <t>R26302310CAB002</t>
  </si>
  <si>
    <t>2026年境外来电及被叫反诈监测能力建设项目（软件开发）</t>
  </si>
  <si>
    <t>建设境外来电监测、高风险手机用户被叫通话监测、IMS信令回注封堵与过白核验、声纹监测等手段，相关功能基于大语音业务运营管理平台现有能力进行扩容升级，构建针对手机用户被叫诈骗场景的专项监测与处置能力（本项目为软件开发部分）</t>
  </si>
  <si>
    <t>规划部请购中</t>
  </si>
  <si>
    <t>B26302310CAB005</t>
  </si>
  <si>
    <t>2026年境外来电及被叫反诈监测能力建设项目（硬件部分）</t>
  </si>
  <si>
    <t>建设境外来电监测、高风险手机用户被叫通话监测、IMS信令回注封堵与过白核验、声纹监测等手段，相关功能基于大语音业务运营管理平台现有能力进行扩容与升级（本项目为硬件部分），部署均衡型服务器7台、存储型服务器6台、推理型服务器7台</t>
  </si>
  <si>
    <t>R26302310CBG001</t>
  </si>
  <si>
    <t>2026年科创成果转化平台软件开发项目</t>
  </si>
  <si>
    <t>完成科创成果转化平台软件的开发工作，保障成果生命周期高效流转与价值释放，助力科创成果转化提效</t>
  </si>
  <si>
    <t>合同未签订</t>
  </si>
  <si>
    <t>B26302310CAG00X</t>
  </si>
  <si>
    <t>2026年江苏行业短信网关升级改造项目</t>
  </si>
  <si>
    <t>完成省内行业网关软件升级改造，支持子端口白名单鉴权信息上报、CMPP协议MD5改成国密算法、支持对接集团先审后发平台、并支持用户号段拦截功能等4项功能优化升级</t>
  </si>
  <si>
    <t>待业务网设计框架生效后进行设计派工</t>
  </si>
  <si>
    <t>B26302310CBL001</t>
  </si>
  <si>
    <t>通信网络安全五期扩容项目</t>
  </si>
  <si>
    <t>迭代升级“1+6+X”防护体系，构建弹性、智能通信网安全防护体系，全面应用人工智能技术支撑安全运营提质增效；对AI智能安全运营平台、SOC安全运营管理系统、4A网络安全管控平台、安全合规管理平台、安全域规则和策略管理平台、网络数据管控平台和欺骗式防御系统进行功能升级改造，并新增2台数据库审计产品和13套国产化数据库</t>
  </si>
  <si>
    <t>R25302310CAB001</t>
  </si>
  <si>
    <t>2025年涉诈互联网黑灰产分析预警平台软件开发项目</t>
  </si>
  <si>
    <t>完成涉诈互联网黑灰产分析预警平台软件开发，重点建设违规CDN业务、秒拨IP分析预警能力，接码平台违规注册互联网账号的风险防控能力，远控类诈骗识别阻断能力、隐蔽黑灰产平台安全检测能力以及黑灰产窝点线索挖掘等安全能力</t>
  </si>
  <si>
    <t>已完成软件开发，等待部署上线</t>
  </si>
  <si>
    <t>B26302310CAF001</t>
  </si>
  <si>
    <t>2026年连云港智算X节点工程项目</t>
  </si>
  <si>
    <t>B25302310CBF00F</t>
  </si>
  <si>
    <t>2025年Oracle Exadata一体机新建项目</t>
  </si>
  <si>
    <t>为企业数据中心新建一套ORACLE一体机</t>
  </si>
  <si>
    <t>已协调取消项目</t>
  </si>
  <si>
    <t>B26302310CA7001</t>
  </si>
  <si>
    <t>2025年江苏云视讯会议系统建设项目</t>
  </si>
  <si>
    <t>基于省内智算X节点硬件资源搭建江苏云视讯会议系统，服务重点政企集团客户，作为总部云视讯平台的有效补充，解决总部云视频平台长期遗留问题，同时兼做总部云视讯平台的容灾备份</t>
  </si>
  <si>
    <t>政企需求变化，拟取消项目</t>
  </si>
  <si>
    <t>求和项:立项金额（万元）</t>
  </si>
  <si>
    <t>总计</t>
  </si>
  <si>
    <t>计数项:项目编码</t>
  </si>
  <si>
    <t>周进展(20260814)</t>
    <phoneticPr fontId="1" type="noConversion"/>
  </si>
  <si>
    <t>周进展（20260821）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</si>
</sst>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8" formatCode="_ [$€]* #,##0_ ;_ [$€]* \-#,##0_ ;_ [$€]* &quot;-&quot;??_ ;_ @_ "/>
    <numFmt numFmtId="179" formatCode="_([$€-2]* #,##0.00_);_([$€-2]* \(#,##0.00\);_([$€-2]* &quot;-&quot;??_)"/>
    <numFmt numFmtId="180" formatCode="0_ "/>
    <numFmt numFmtId="181" formatCode="yyyy/m/d;@"/>
  </numFmts>
  <fonts count="18" x14ac:knownFonts="1">
    <font>
      <sz val="10"/>
      <name val="Arial"/>
      <charset val="134"/>
    </font>
    <font>
      <sz val="9"/>
      <name val="Arial"/>
      <family val="2"/>
    </font>
    <font>
      <i/>
      <sz val="10"/>
      <name val="Arial"/>
      <family val="2"/>
    </font>
    <font>
      <b/>
      <sz val="10"/>
      <color rgb="FFFFFFFF"/>
      <name val="宋体"/>
      <family val="3"/>
      <charset val="134"/>
      <scheme val="minor"/>
    </font>
    <font>
      <b/>
      <sz val="10"/>
      <color rgb="FFFFFFFF"/>
      <name val="宋体"/>
      <family val="3"/>
      <charset val="134"/>
    </font>
    <font>
      <sz val="10"/>
      <name val="宋体"/>
      <family val="3"/>
      <charset val="134"/>
      <scheme val="minor"/>
    </font>
    <font>
      <sz val="10"/>
      <color rgb="FF000000"/>
      <name val="宋体"/>
      <family val="3"/>
      <charset val="134"/>
    </font>
    <font>
      <sz val="10"/>
      <color rgb="FF000000"/>
      <name val="宋体"/>
      <family val="3"/>
      <charset val="134"/>
      <scheme val="minor"/>
    </font>
    <font>
      <sz val="10"/>
      <color rgb="FF000000"/>
      <name val="Arial"/>
      <family val="2"/>
    </font>
    <font>
      <i/>
      <sz val="10"/>
      <color rgb="FF000000"/>
      <name val="宋体"/>
      <family val="3"/>
      <charset val="134"/>
    </font>
    <font>
      <sz val="10"/>
      <name val="宋体"/>
      <family val="3"/>
      <charset val="134"/>
    </font>
    <font>
      <sz val="9"/>
      <name val="宋体"/>
      <family val="3"/>
      <charset val="134"/>
    </font>
    <font>
      <sz val="10"/>
      <color theme="1"/>
      <name val="宋体"/>
      <family val="3"/>
      <charset val="134"/>
      <scheme val="minor"/>
    </font>
    <font>
      <sz val="10"/>
      <name val="华文细黑"/>
      <family val="3"/>
      <charset val="134"/>
    </font>
    <font>
      <sz val="11"/>
      <color theme="1"/>
      <name val="宋体"/>
      <family val="3"/>
      <charset val="134"/>
      <scheme val="minor"/>
    </font>
    <font>
      <sz val="12"/>
      <name val="宋体"/>
      <family val="3"/>
      <charset val="134"/>
    </font>
    <font>
      <sz val="11"/>
      <color indexed="8"/>
      <name val="宋体"/>
      <family val="3"/>
      <charset val="134"/>
      <scheme val="minor"/>
    </font>
    <font>
      <sz val="10"/>
      <name val="Arial"/>
      <family val="2"/>
    </font>
  </fonts>
  <fills count="3">
    <fill>
      <patternFill patternType="none"/>
    </fill>
    <fill>
      <patternFill patternType="gray125"/>
    </fill>
    <fill>
      <patternFill patternType="solid">
        <fgColor rgb="FF00B0F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indexed="8"/>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diagonal/>
    </border>
    <border>
      <left/>
      <right/>
      <top style="thin">
        <color auto="1"/>
      </top>
      <bottom/>
      <diagonal/>
    </border>
  </borders>
  <cellStyleXfs count="18">
    <xf numFmtId="0" fontId="0" fillId="0" borderId="0"/>
    <xf numFmtId="0" fontId="15" fillId="0" borderId="0"/>
    <xf numFmtId="9" fontId="17" fillId="0" borderId="0" applyFont="0" applyFill="0" applyBorder="0" applyAlignment="0" applyProtection="0"/>
    <xf numFmtId="178" fontId="14" fillId="0" borderId="0">
      <alignment vertical="center"/>
    </xf>
    <xf numFmtId="178" fontId="14" fillId="0" borderId="0">
      <alignment vertical="center"/>
    </xf>
    <xf numFmtId="179" fontId="14" fillId="0" borderId="0">
      <alignment vertical="center"/>
    </xf>
    <xf numFmtId="178" fontId="14" fillId="0" borderId="0">
      <alignment vertical="center"/>
    </xf>
    <xf numFmtId="0" fontId="17" fillId="0" borderId="0"/>
    <xf numFmtId="178" fontId="14" fillId="0" borderId="0">
      <alignment vertical="center"/>
    </xf>
    <xf numFmtId="178" fontId="15" fillId="0" borderId="0"/>
    <xf numFmtId="178" fontId="14" fillId="0" borderId="0">
      <alignment vertical="center"/>
    </xf>
    <xf numFmtId="179" fontId="14" fillId="0" borderId="0">
      <alignment vertical="center"/>
    </xf>
    <xf numFmtId="178" fontId="16" fillId="0" borderId="0">
      <alignment vertical="center"/>
    </xf>
    <xf numFmtId="179" fontId="16" fillId="0" borderId="0">
      <alignment vertical="center"/>
    </xf>
    <xf numFmtId="178" fontId="16" fillId="0" borderId="0">
      <alignment vertical="center"/>
    </xf>
    <xf numFmtId="0" fontId="16" fillId="0" borderId="0">
      <alignment vertical="center"/>
    </xf>
    <xf numFmtId="179" fontId="15" fillId="0" borderId="0"/>
    <xf numFmtId="178" fontId="14" fillId="0" borderId="0">
      <alignment vertical="center"/>
    </xf>
  </cellStyleXfs>
  <cellXfs count="65">
    <xf numFmtId="0" fontId="0" fillId="0" borderId="0" xfId="0"/>
    <xf numFmtId="0" fontId="1" fillId="0" borderId="0" xfId="0" applyFont="1" applyAlignment="1">
      <alignment vertical="center" wrapText="1"/>
    </xf>
    <xf numFmtId="0" fontId="0" fillId="0" borderId="0" xfId="0" applyAlignment="1">
      <alignment horizontal="center" vertical="center"/>
    </xf>
    <xf numFmtId="0" fontId="2" fillId="0" borderId="0" xfId="0" applyFont="1"/>
    <xf numFmtId="0" fontId="1" fillId="0" borderId="0" xfId="0" applyFont="1" applyAlignment="1">
      <alignment horizontal="center"/>
    </xf>
    <xf numFmtId="0" fontId="1" fillId="0" borderId="0" xfId="0" applyFont="1" applyAlignment="1">
      <alignment wrapText="1"/>
    </xf>
    <xf numFmtId="0" fontId="1" fillId="0" borderId="0" xfId="0" applyFont="1" applyAlignment="1">
      <alignment horizontal="left" wrapText="1"/>
    </xf>
    <xf numFmtId="0" fontId="0" fillId="0" borderId="0" xfId="0" applyAlignment="1">
      <alignment horizontal="center" vertical="center" wrapText="1"/>
    </xf>
    <xf numFmtId="0" fontId="0" fillId="0" borderId="0" xfId="0" applyAlignment="1">
      <alignment horizontal="center"/>
    </xf>
    <xf numFmtId="180" fontId="0" fillId="0" borderId="0" xfId="0" applyNumberFormat="1" applyAlignment="1">
      <alignment horizontal="center"/>
    </xf>
    <xf numFmtId="0" fontId="0" fillId="0" borderId="0" xfId="0" applyAlignment="1">
      <alignment wrapText="1"/>
    </xf>
    <xf numFmtId="0" fontId="0" fillId="0" borderId="0" xfId="0" applyAlignment="1">
      <alignment horizontal="center" wrapText="1"/>
    </xf>
    <xf numFmtId="9" fontId="0" fillId="0" borderId="0" xfId="0" applyNumberFormat="1" applyAlignment="1">
      <alignment horizontal="center" vertical="center"/>
    </xf>
    <xf numFmtId="0" fontId="3" fillId="2" borderId="1" xfId="0" applyFont="1" applyFill="1" applyBorder="1" applyAlignment="1">
      <alignment horizontal="center" vertical="center" wrapText="1"/>
    </xf>
    <xf numFmtId="178" fontId="3" fillId="2" borderId="2" xfId="12" applyFont="1" applyFill="1" applyBorder="1" applyAlignment="1">
      <alignment horizontal="center" vertical="center" wrapText="1"/>
    </xf>
    <xf numFmtId="178" fontId="3" fillId="2" borderId="3" xfId="12" applyFont="1" applyFill="1" applyBorder="1" applyAlignment="1">
      <alignment horizontal="center" vertical="center" wrapText="1"/>
    </xf>
    <xf numFmtId="0" fontId="3" fillId="2" borderId="3" xfId="0" applyFont="1" applyFill="1" applyBorder="1" applyAlignment="1">
      <alignment horizontal="center" vertical="center" wrapText="1"/>
    </xf>
    <xf numFmtId="180" fontId="3" fillId="2" borderId="3" xfId="12" applyNumberFormat="1" applyFont="1" applyFill="1" applyBorder="1" applyAlignment="1">
      <alignment horizontal="center" vertical="center" wrapText="1"/>
    </xf>
    <xf numFmtId="178" fontId="4" fillId="2" borderId="3" xfId="12" applyFont="1" applyFill="1" applyBorder="1" applyAlignment="1">
      <alignment horizontal="center" vertical="center" wrapText="1"/>
    </xf>
    <xf numFmtId="0" fontId="4" fillId="2" borderId="3" xfId="0" applyFont="1" applyFill="1" applyBorder="1" applyAlignment="1">
      <alignment horizontal="center" vertical="center" wrapText="1"/>
    </xf>
    <xf numFmtId="9" fontId="4" fillId="2" borderId="3" xfId="0" applyNumberFormat="1" applyFont="1" applyFill="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left" vertical="center" wrapText="1"/>
    </xf>
    <xf numFmtId="0" fontId="6" fillId="0" borderId="3" xfId="0" applyFont="1" applyBorder="1" applyAlignment="1">
      <alignment horizontal="left" vertical="center" wrapText="1"/>
    </xf>
    <xf numFmtId="0" fontId="7" fillId="0" borderId="3" xfId="0" applyFont="1" applyBorder="1" applyAlignment="1">
      <alignment horizontal="left" vertical="center" wrapText="1"/>
    </xf>
    <xf numFmtId="181" fontId="5" fillId="0" borderId="3" xfId="0" applyNumberFormat="1" applyFont="1" applyBorder="1" applyAlignment="1">
      <alignment horizontal="left" vertical="center"/>
    </xf>
    <xf numFmtId="0" fontId="5" fillId="0" borderId="3" xfId="0" applyFont="1" applyBorder="1" applyAlignment="1">
      <alignment horizontal="left" vertical="center"/>
    </xf>
    <xf numFmtId="180" fontId="5" fillId="0" borderId="3" xfId="0" applyNumberFormat="1" applyFont="1" applyBorder="1" applyAlignment="1">
      <alignment horizontal="center" vertical="center"/>
    </xf>
    <xf numFmtId="0" fontId="5" fillId="0" borderId="3" xfId="0" applyFont="1" applyBorder="1" applyAlignment="1">
      <alignment horizontal="left" vertical="center" wrapText="1"/>
    </xf>
    <xf numFmtId="9" fontId="0" fillId="0" borderId="3" xfId="0" applyNumberFormat="1" applyBorder="1" applyAlignment="1">
      <alignment horizontal="center" vertical="center"/>
    </xf>
    <xf numFmtId="0" fontId="8" fillId="0" borderId="3" xfId="0" applyFont="1" applyBorder="1" applyAlignment="1">
      <alignment horizontal="center" vertical="center"/>
    </xf>
    <xf numFmtId="0" fontId="5" fillId="0" borderId="4" xfId="0" applyFont="1" applyBorder="1" applyAlignment="1">
      <alignment horizontal="left" vertical="center" wrapText="1"/>
    </xf>
    <xf numFmtId="9" fontId="6" fillId="0" borderId="3" xfId="0" applyNumberFormat="1" applyFont="1" applyBorder="1" applyAlignment="1">
      <alignment horizontal="left" vertical="center" wrapText="1"/>
    </xf>
    <xf numFmtId="0" fontId="7" fillId="0" borderId="3" xfId="0" applyFont="1" applyBorder="1" applyAlignment="1">
      <alignment horizontal="left" vertical="center" wrapText="1" readingOrder="1"/>
    </xf>
    <xf numFmtId="180" fontId="7" fillId="0" borderId="3" xfId="0" applyNumberFormat="1" applyFont="1" applyBorder="1" applyAlignment="1">
      <alignment horizontal="center" vertical="center"/>
    </xf>
    <xf numFmtId="0" fontId="6" fillId="0" borderId="3" xfId="0" applyFont="1" applyBorder="1" applyAlignment="1">
      <alignment horizontal="left" vertical="center"/>
    </xf>
    <xf numFmtId="14" fontId="5" fillId="0" borderId="3" xfId="0" applyNumberFormat="1" applyFont="1" applyBorder="1" applyAlignment="1">
      <alignment horizontal="left" vertical="center"/>
    </xf>
    <xf numFmtId="0" fontId="0" fillId="0" borderId="3" xfId="0" applyBorder="1" applyAlignment="1">
      <alignment horizontal="center" vertical="center"/>
    </xf>
    <xf numFmtId="0" fontId="9" fillId="0" borderId="3" xfId="0" applyFont="1" applyBorder="1" applyAlignment="1">
      <alignment horizontal="left" vertical="center" wrapText="1"/>
    </xf>
    <xf numFmtId="0" fontId="5" fillId="0" borderId="2" xfId="0" applyFont="1" applyBorder="1" applyAlignment="1">
      <alignment horizontal="left" vertical="center"/>
    </xf>
    <xf numFmtId="0" fontId="7" fillId="0" borderId="3" xfId="0" applyFont="1" applyBorder="1" applyAlignment="1">
      <alignment horizontal="left" vertical="center"/>
    </xf>
    <xf numFmtId="58" fontId="7" fillId="0" borderId="3" xfId="0" applyNumberFormat="1" applyFont="1" applyBorder="1" applyAlignment="1">
      <alignment horizontal="left" vertical="center" readingOrder="1"/>
    </xf>
    <xf numFmtId="14" fontId="7" fillId="0" borderId="3" xfId="0" applyNumberFormat="1" applyFont="1" applyBorder="1" applyAlignment="1">
      <alignment horizontal="left" vertical="center"/>
    </xf>
    <xf numFmtId="0" fontId="10" fillId="0" borderId="0" xfId="0" applyFont="1"/>
    <xf numFmtId="0" fontId="5" fillId="0" borderId="0" xfId="0" applyFont="1" applyAlignment="1">
      <alignment horizontal="center" vertical="center" wrapText="1"/>
    </xf>
    <xf numFmtId="181" fontId="5" fillId="0" borderId="0" xfId="0" applyNumberFormat="1" applyFont="1" applyAlignment="1">
      <alignment horizontal="center" vertical="center" wrapText="1"/>
    </xf>
    <xf numFmtId="14" fontId="0" fillId="0" borderId="0" xfId="0" applyNumberFormat="1"/>
    <xf numFmtId="0" fontId="10"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xf>
    <xf numFmtId="180" fontId="5" fillId="0" borderId="0" xfId="0" applyNumberFormat="1" applyFont="1" applyAlignment="1">
      <alignment horizontal="center" vertical="center" wrapText="1"/>
    </xf>
    <xf numFmtId="9" fontId="8" fillId="0" borderId="3" xfId="0" applyNumberFormat="1" applyFont="1" applyBorder="1" applyAlignment="1">
      <alignment horizontal="center" vertical="center"/>
    </xf>
    <xf numFmtId="58" fontId="7" fillId="0" borderId="3" xfId="0" applyNumberFormat="1" applyFont="1" applyBorder="1" applyAlignment="1">
      <alignment horizontal="left" vertical="center" wrapText="1" readingOrder="1"/>
    </xf>
    <xf numFmtId="0" fontId="12" fillId="0" borderId="3" xfId="0" applyFont="1" applyBorder="1" applyAlignment="1">
      <alignment horizontal="left" vertical="center"/>
    </xf>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8" xfId="0" applyBorder="1"/>
    <xf numFmtId="0" fontId="12" fillId="0" borderId="3" xfId="0" applyFont="1" applyBorder="1" applyAlignment="1">
      <alignment horizontal="left" vertical="center" wrapText="1"/>
    </xf>
    <xf numFmtId="0" fontId="2" fillId="0" borderId="3" xfId="0" applyFont="1" applyBorder="1" applyAlignment="1">
      <alignment horizontal="center" vertical="center"/>
    </xf>
    <xf numFmtId="0" fontId="6" fillId="0" borderId="3" xfId="0" applyFont="1" applyBorder="1" applyAlignment="1">
      <alignment horizontal="left" vertical="center" wrapText="1" readingOrder="1"/>
    </xf>
    <xf numFmtId="0" fontId="13" fillId="0" borderId="0" xfId="0" applyFont="1" applyAlignment="1">
      <alignment horizontal="left" wrapText="1"/>
    </xf>
    <xf numFmtId="0" fontId="7" fillId="0" borderId="0" xfId="0" applyFont="1" applyAlignment="1">
      <alignment horizontal="center" vertical="center" wrapText="1"/>
    </xf>
  </cellXfs>
  <cellStyles count="18">
    <cellStyle name="s]_x000d__x000a_load=_x000d__x000a_run=_x000d__x000a_NullPort=None_x000d__x000a_device=HP LaserJet 4 Plus,HPPCL5MS,LPT1:_x000d__x000a__x000d__x000a_[Desktop]_x000d__x000a_Wallpaper=(无)_x000d__x000a_TileWallpaper=0_x000d_" xfId="1" xr:uid="{00000000-0005-0000-0000-000031000000}"/>
    <cellStyle name="百分比 2" xfId="2" xr:uid="{00000000-0005-0000-0000-000032000000}"/>
    <cellStyle name="常规" xfId="0" builtinId="0"/>
    <cellStyle name="常规 2" xfId="3" xr:uid="{00000000-0005-0000-0000-000033000000}"/>
    <cellStyle name="常规 2 2 14" xfId="4" xr:uid="{00000000-0005-0000-0000-000034000000}"/>
    <cellStyle name="常规 3" xfId="5" xr:uid="{00000000-0005-0000-0000-000035000000}"/>
    <cellStyle name="常规 38" xfId="6" xr:uid="{00000000-0005-0000-0000-000036000000}"/>
    <cellStyle name="常规 4" xfId="7" xr:uid="{00000000-0005-0000-0000-000037000000}"/>
    <cellStyle name="常规 4 4" xfId="8" xr:uid="{00000000-0005-0000-0000-000038000000}"/>
    <cellStyle name="常规 4 4 2 2" xfId="9" xr:uid="{00000000-0005-0000-0000-000039000000}"/>
    <cellStyle name="常规 4 4 7" xfId="10" xr:uid="{00000000-0005-0000-0000-00003A000000}"/>
    <cellStyle name="常规 5" xfId="11" xr:uid="{00000000-0005-0000-0000-00003B000000}"/>
    <cellStyle name="常规 58 2" xfId="12" xr:uid="{00000000-0005-0000-0000-00003C000000}"/>
    <cellStyle name="常规 58 2 3" xfId="13" xr:uid="{00000000-0005-0000-0000-00003D000000}"/>
    <cellStyle name="常规 60 3" xfId="14" xr:uid="{00000000-0005-0000-0000-00003E000000}"/>
    <cellStyle name="常规 7" xfId="15" xr:uid="{00000000-0005-0000-0000-00003F000000}"/>
    <cellStyle name="常规 7 4" xfId="16" xr:uid="{00000000-0005-0000-0000-000040000000}"/>
    <cellStyle name="千位分隔 2 31" xfId="17" xr:uid="{00000000-0005-0000-0000-000041000000}"/>
  </cellStyles>
  <dxfs count="0"/>
  <tableStyles count="0" defaultTableStyle="TableStyleMedium2" defaultPivotStyle="PivotStyleLight16"/>
  <colors>
    <mruColors>
      <color rgb="FF606266"/>
      <color rgb="FFFFFF00"/>
      <color rgb="FF12171F"/>
      <color rgb="FF0D0D0D"/>
      <color rgb="FFE2EFDA"/>
      <color rgb="FFFF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14" dbFileVersion="0">
    <open main="109" threadCnt="1"/>
    <sheetInfos>
      <sheetInfo cellCmpFml="14" sheetStid="18">
        <open main="18" threadCnt="1"/>
      </sheetInfo>
      <sheetInfo cellCmpFml="0" sheetStid="20">
        <open main="1" threadCnt="1"/>
      </sheetInfo>
      <sheetInfo cellCmpFml="0" sheetStid="22">
        <open main="1"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www.wps.cn/officeDocument/2023/relationships/woinfos" Target="woinfo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2.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known User" refreshedDate="46254.365312499998" createdVersion="5" refreshedVersion="5" minRefreshableVersion="3" recordCount="233" xr:uid="{00000000-000A-0000-FFFF-FFFF00000000}">
  <cacheSource type="worksheet">
    <worksheetSource ref="A1:K234" sheet="按类别区分 2026年8月"/>
  </cacheSource>
  <cacheFields count="11">
    <cacheField name="序号" numFmtId="0">
      <sharedItems containsMixedTypes="1" containsNumber="1" containsInteger="1" count="224">
        <e v="#VALUE!"/>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sharedItems>
    </cacheField>
    <cacheField name="专业类别" numFmtId="0">
      <sharedItems count="5">
        <s v="业务网"/>
        <s v="移动通信网-核心网"/>
        <s v="传输网"/>
        <s v="支撑网"/>
        <s v="移动通信网-无线网"/>
      </sharedItems>
    </cacheField>
    <cacheField name="项目编码" numFmtId="0">
      <sharedItems count="233">
        <s v="B25302310CA4001"/>
        <s v="B25302310CA701F"/>
        <s v="B25302310CA701Y"/>
        <s v="B26302310CA5002"/>
        <s v="B25302310CA4002"/>
        <s v="B25302310CA4003"/>
        <s v="B25302310CA4004"/>
        <s v="B25302310CA4005"/>
        <s v="B25302310CA4007"/>
        <s v="B25302310CA4008"/>
        <s v="B25302310CA700W"/>
        <s v="B25302310CA701B"/>
        <s v="B26302310CA4001"/>
        <s v="B26302310CA4002"/>
        <s v="B26302310CA4003"/>
        <s v="B26302310CA4005"/>
        <s v="B26302310CA4006"/>
        <s v="B26302310CA4007"/>
        <s v="B26302310CA4008"/>
        <s v="B26302310CA4009"/>
        <s v="B26302310CA400A"/>
        <s v="B26302310CA400B"/>
        <s v="B26302310CA400C"/>
        <s v="B26302310CA400D"/>
        <s v="B25302310CA6001"/>
        <s v="C25302325ABF001"/>
        <s v="C25302322ABF001"/>
        <s v="C25302321ABF001"/>
        <s v="B25302310ABE001"/>
        <s v="B25302310BBA001"/>
        <s v="B25302310BBA002"/>
        <s v="B25302310CB0003"/>
        <s v="C25302332ABF001"/>
        <s v="C25302329ABF001"/>
        <s v="C25302321ABF002"/>
        <s v="C25302326ABF001"/>
        <s v="C25302327ABF001"/>
        <s v="C25302323ABF001"/>
        <s v="C25302325ABF002"/>
        <s v="C25302322ABF002"/>
        <s v="C25302323BBA001"/>
        <s v="C25302326BBA001"/>
        <s v="C25302324BBA001"/>
        <s v="C25302331BBA001"/>
        <s v="C25302330BBA001"/>
        <s v="C25302332BBA001"/>
        <s v="C25302322BBA001"/>
        <s v="C25302329BBA001"/>
        <s v="C25302328BBA001"/>
        <s v="C25302321BBA001"/>
        <s v="C25302325BBA001"/>
        <s v="C25302327BBA001"/>
        <s v="C25302333BBA001"/>
        <s v="C25302332ABF002"/>
        <s v="C25302322ABF003"/>
        <s v="C25302321ABF003"/>
        <s v="C25302332ABF003"/>
        <s v="C25302325ABF003"/>
        <s v="C25302328ABF001"/>
        <s v="B25302310BBB009"/>
        <s v="B25302310BBB00E"/>
        <s v="B25302310ABA002"/>
        <s v="B25302310AB0002"/>
        <s v="B25302310AB0003"/>
        <s v="B25302310AB0004"/>
        <s v="B25302310AA3001"/>
        <s v="C25302331ABF001"/>
        <s v="B25302310BBD002"/>
        <s v="B25302310BBB00G"/>
        <s v="B25302310ABA00A"/>
        <s v="C25302324ABF001"/>
        <s v="C25302330ABF001"/>
        <s v="B25302310ABA006"/>
        <s v="B25302310CAC001"/>
        <s v="C25302323ABF002"/>
        <s v="B25302310BBA003"/>
        <s v="C25302321ABF004"/>
        <s v="B25302310ABA004"/>
        <s v="B25302310ABC001"/>
        <s v="B25302310CA7027"/>
        <s v="B25302310ABA005"/>
        <s v="B25302310ABB004"/>
        <s v="C25302332ABF004"/>
        <s v="T25032310ABA006"/>
        <s v="C25302330ABF002"/>
        <s v="C25302326ABF002"/>
        <s v="C25302329ABF002"/>
        <s v="B25302310CB0002"/>
        <s v="C25302328ABF002"/>
        <s v="C26302325ABF001"/>
        <s v="T26032310ABA001"/>
        <s v="B26302310BBA001"/>
        <s v="C26302326ABF001"/>
        <s v="C26302332ABF001"/>
        <s v="B26302310CA6002"/>
        <s v="B26302310CAC001"/>
        <s v="C26302326ABF002"/>
        <s v="B26302310BBA002"/>
        <s v="C26302324ABF001"/>
        <s v="C26302325ABF002"/>
        <s v="C26302324ABF002"/>
        <s v="B26302310ABA002"/>
        <s v="B26302310BBA004"/>
        <s v="B26302310ABB006"/>
        <s v="C26302325ABF003"/>
        <s v="C26302326ABF003"/>
        <s v="C26302323ABF001"/>
        <s v="C26302321ABF001"/>
        <s v="C26302328ABF001"/>
        <s v="C26302329ABF001"/>
        <s v="C26302323ABF002"/>
        <s v="B25302310AB0001"/>
        <s v="R25302310CA7001"/>
        <s v="B25302310CBL001"/>
        <s v="R25302310CBE002"/>
        <s v="R25302310CBJ001"/>
        <s v="R25302310CBJ002"/>
        <s v="B25302310CA3001"/>
        <s v="B25302310CB0001"/>
        <s v="B25302310CA6002"/>
        <s v="R25302310CA7002"/>
        <s v="B25302310CA6003"/>
        <s v="R25302310CA7003"/>
        <s v="B26302310CA700H"/>
        <s v="R25302310CBD001"/>
        <s v="B25302310CAH001"/>
        <s v="R25302310CBF001"/>
        <s v="R25302310CA7006"/>
        <s v="R25302310CA7004"/>
        <s v="R25302310CA7005"/>
        <s v="B25302310BBC003"/>
        <s v="B25302310CA7011"/>
        <s v="R25302310CA7007"/>
        <s v="B25302310CAB007"/>
        <s v="B26302310CA700G"/>
        <s v="R25302310CBK001"/>
        <s v="B25302310CBF00E"/>
        <s v="R25302310CBF002"/>
        <s v="B25302310CA6005"/>
        <s v="B25302310CBG001"/>
        <s v="R25302310CA700D"/>
        <s v="R25302310CBD002"/>
        <s v="B25302310CA701Q"/>
        <s v="R25302310CA700E"/>
        <s v="B26302310CA700F"/>
        <s v="B26302310CA700E"/>
        <s v="B25302310CAB008"/>
        <s v="R25302310CAB004"/>
        <s v="R25302310CBF003"/>
        <s v="R25302310CBF004"/>
        <s v="B25302310CA6007"/>
        <s v="R25302310CA700H"/>
        <s v="R25302310CA700G"/>
        <s v="B25302310CA701W"/>
        <s v="R25302310CBD003"/>
        <s v="B25302310CA6006"/>
        <s v="R25302310CBF005"/>
        <s v="B25302310CA701S"/>
        <s v="B25302310CAB00A"/>
        <s v="R25302310CBG001"/>
        <s v="R25302310CBD004"/>
        <s v="B25302310CBD002"/>
        <s v="R25302310CBF008"/>
        <s v="R25302310CAB005"/>
        <s v="R25302310CBF006"/>
        <s v="B25302310CAB00C"/>
        <s v="R25302310CAB006"/>
        <s v="B25302310CAB00D"/>
        <s v="R25302310CBD007"/>
        <s v="R25302310CA700K"/>
        <s v="R25302310CBD005"/>
        <s v="R25302310CA700R"/>
        <s v="R25302310CA700S"/>
        <s v="R25302310CA700T"/>
        <s v="R25302310CA700L"/>
        <s v="R25302310CA700P"/>
        <s v="R25302310CA700N"/>
        <s v="R25302310CA700M"/>
        <s v="R25302310CBD006"/>
        <s v="B25302310CBL002"/>
        <s v="R25302310CA700Q"/>
        <s v="B25302310CAG002"/>
        <s v="R25302310CA700U"/>
        <s v="B26302310000001"/>
        <s v="B25302310CB0004"/>
        <s v="B25302310CAH007"/>
        <s v="B25302310CBD003"/>
        <s v="R25302310CA700Y"/>
        <s v="R25302310CA700X"/>
        <s v="R25302310CBF009"/>
        <s v="R25302310CBF00A"/>
        <s v="R25302310CA700V"/>
        <s v="R25302310CAB00A"/>
        <s v="R25302310CAB009"/>
        <s v="R25302310CA700W"/>
        <s v="R25302310CBF007"/>
        <s v="R25302310CAB007"/>
        <s v="R25302310CAB008"/>
        <s v="R25302310CAB00B"/>
        <s v="B25302310CAB009"/>
        <s v="B25302310CAB00B"/>
        <s v="R25302310CA700Z"/>
        <s v="B25302310CA6008"/>
        <s v="B25302310CBL003"/>
        <s v="R25302310CBD008"/>
        <s v="B25302310CAB00U"/>
        <s v="B26302310CA6001"/>
        <s v="B25302310CBD001"/>
        <s v="B26302310CA6003"/>
        <s v="B25302310CAB00E"/>
        <s v="B25302310CA701R"/>
        <s v="B26302310CAB001"/>
        <s v="R26302310CBJ001"/>
        <s v="B26302310BA4004"/>
        <s v="R26302310CBF001"/>
        <s v="B25302310CA6004"/>
        <s v="B25302310CAB00T"/>
        <s v="B26302310CAB002"/>
        <s v="B26302310CAB004"/>
        <s v="B26302310CAI001"/>
        <s v="B26302310ABA001"/>
        <s v="R26302310CA9001"/>
        <s v="R26302310CA9002"/>
        <s v="B26302310CA6007"/>
        <s v="R26302310CAB002"/>
        <s v="B26302310CAB005"/>
        <s v="R26302310CBG001"/>
        <s v="B26302310CAG00X"/>
        <s v="B26302310CBL001"/>
        <s v="R25302310CAB001"/>
        <s v="B26302310CAF001"/>
        <s v="B25302310CBF00F"/>
        <s v="B26302310CA7001"/>
      </sharedItems>
    </cacheField>
    <cacheField name="项目名称" numFmtId="0">
      <sharedItems count="233">
        <s v="2025年宿迁智算X节点工程项目"/>
        <s v="视联网X节点资源池工程项目"/>
        <s v="2025年家庭云电脑业务平台建设工程项目"/>
        <s v="2026年B2B内容分发网络建设项目"/>
        <s v="2025年盐城智算X节点工程项目"/>
        <s v="2025年泰州智算X节点工程项目"/>
        <s v="2025年南通智算X节点工程项目"/>
        <s v="2025年扬州智算X节点工程项目"/>
        <s v="2025年南京智算X节点工程建设项目"/>
        <s v="2025年镇江智算X节点工程项目"/>
        <s v="新型产品及平台支撑资源省中心智算X节点工程"/>
        <s v="2025年个人算力产品X节点资源项目一阶段工程"/>
        <s v="2026年宿迁智算X节点工程项目"/>
        <s v="2026年淮安智算X节点工程项目"/>
        <s v="2026年盐城智算X节点工程项目"/>
        <s v="2026年南京智算X节点工程项目"/>
        <s v="2026年省中心智算X节点工程"/>
        <s v="2026年苏州智算X节点工程"/>
        <s v="2026年南京智算X节点二阶段工程"/>
        <s v="2026年无锡智算X节点工程项目"/>
        <s v="2026年盐城智算X节点二阶段工程项目"/>
        <s v="2026年南通智算X节点工程项目"/>
        <s v="2026年苏州智算X节点二阶段工程"/>
        <s v="2026年徐州智算X节点工程项目"/>
        <s v="2025年CMNet流量监控平台一期工程"/>
        <s v="2025年苏州共享UPF扩容工程"/>
        <s v="2025年无锡共享UPF扩容工程"/>
        <s v="2025年南京第一批5G垂直行业专网项目"/>
        <s v="中国移动集中网络云资源池七期工程_江苏公司"/>
        <s v="2025年虎踞路59号业务路由器搬迁工程"/>
        <s v="2025年iBNG项目"/>
        <s v="2025年业务支撑网老旧设备替换工程"/>
        <s v="2025年泰州梅兰新材料5G专网项目"/>
        <s v="2025年盐城第一批5G垂直行业专网项目"/>
        <s v="2025年南京南钢智慧铁水运输5G专网项目"/>
        <s v="2025年南通第一批5G垂直行业专网项目"/>
        <s v="2025年连云港第一批5G垂直行业专网项目"/>
        <s v="2025年徐州第一批5G垂直行业专网项目"/>
        <s v="2025年苏州新建ToB共享UPF项目"/>
        <s v="2025年无锡新建ToB共享UPF项目"/>
        <s v="2025年徐州地区城域数据网一期工程"/>
        <s v="2025年南通地区城域数据网一期工程"/>
        <s v="2025年常州地区城域数据网一期工程"/>
        <s v="2025年镇江地区城域数据网一期工程"/>
        <s v="2025年扬州地区城域数据网一期工程"/>
        <s v="2025年泰州地区城域数据网一期工程"/>
        <s v="2025年无锡地区城域数据网一期工程"/>
        <s v="2025年盐城地区城域数据网一期工程"/>
        <s v="2025年淮安地区城域数据网一期工程"/>
        <s v="2025年南京地区城域数据网一期工程"/>
        <s v="2025年苏州地区城域数据网一期工程"/>
        <s v="2025年连云港地区城域数据网一期工程"/>
        <s v="2025年宿迁地区城域数据网一期工程"/>
        <s v="2025年泰州第一批5G垂直行业专网项目"/>
        <s v="2025年无锡第一批5G垂直行业专网项目"/>
        <s v="2025年南京第二批5G垂直行业专网项目"/>
        <s v="2025年泰州恒力5G专网项目"/>
        <s v="2025年苏州第一批5G垂直行业专网项目"/>
        <s v="2025年淮安市第三人民医院5G专网项目"/>
        <s v="中国移动CMNet骨干网十五期扩容工程第一阶段工程_江苏公司"/>
        <s v="中国移动云专网骨干网优化工程第一阶段工程_江苏公司"/>
        <s v="中国移动2025-2026年核心网数字孪生体系新技术试验网工程_江苏公司"/>
        <s v="2025年2G端局缩量整合（核心网部分）项目"/>
        <s v="2025年VoNR+网络新技术试点（新通话四期试点）配套工程"/>
        <s v="2025年固网IMS核心网I-SBC扩容与替换工程（第一批）"/>
        <s v="2025年2G端局缩量整合（无线网部分）项目"/>
        <s v="2025年镇江ToB共享UPF扩容工程"/>
        <s v="中国移动IP专用承载网骨干网优化工程第一阶段工程_江苏公司"/>
        <s v="中国移动互联网国内网间出口九期扩容工程_江苏公司"/>
        <s v="中国移动物联网核心网九期工程_江苏节点"/>
        <s v="2025年常州第一批5G垂直行业专网项目"/>
        <s v="2025年扬州第一批5G垂直行业专网项目"/>
        <s v="中国移动2.6GHz广电专用核心网三期工程_江苏公司"/>
        <s v="2025年IDC网络改造工程项目"/>
        <s v="2025年南京第三批5G垂直行业专网项目"/>
        <s v="2025年城域数据网核心路由器扩容工程"/>
        <s v="2025年徐州第二批5G垂直行业专网项目"/>
        <s v="中国移动2025-2026年云化4G5G融合核心网项目_江苏公司"/>
        <s v="中国移动2025-2026年云化信令网工程_江苏公司"/>
        <s v="DNS十三期扩容硬件改造项目"/>
        <s v="中国移动2025-2026年4G5G融合核心网智能化新技术试验网项目_江苏公司"/>
        <s v="中国移动2025-2026年云化语音网络工程_江苏节点"/>
        <s v="2025年泰州ToB共享UPF扩容工程"/>
        <s v="中国移动5G应急预警信息发布系统工程_江苏公司"/>
        <s v="2025年扬州ToB共享UPF扩容工程"/>
        <s v="2025年南通ToB共享UPF扩容工程"/>
        <s v="2025年盐城ToB共享UPF扩容工程"/>
        <s v="2025年IT云虎踞路59号机房搬迁工程"/>
        <s v="2025年淮安ToB共享UPF扩容工程"/>
        <s v="2026年苏州第一批5G垂直行业专网项目"/>
        <s v="中国移动江苏公司应急场景5G核心网异网漫游工程"/>
        <s v="中国移动江苏公司2026年城域数据网iBNG试点工程"/>
        <s v="2026年南通招商局重工5G专网项目"/>
        <s v="2026年泰州第一批5G垂直行业专网项目"/>
        <s v="2026年IDC网络改造工程（一阶段）统一DPI扩容项目"/>
        <s v="2026年IDC网络改造工程（一阶段）带宽扩容项目"/>
        <s v="2026年南通第一批5G垂直行业专网项目"/>
        <s v="2026年城域数据网（CMNet)一阶段工程"/>
        <s v="2026年常州第一批5G垂直行业专网项目"/>
        <s v="2026年苏州第二批5G垂直行业专网项目"/>
        <s v="2026年常州新建ToB共享UPF工程"/>
        <s v="中国移动江苏公司人家互联试点配套工程"/>
        <s v="2026年地市分公司城域数据网一期工程"/>
        <s v="中国移动2026年虚拟群组话音网（V网）扩容项目_江苏公司"/>
        <s v="2026年苏州ToB共享UPF扩容工程"/>
        <s v="2026年南通ToB共享UPF扩容工程"/>
        <s v="2026年徐州ToB共享UPF扩容工程"/>
        <s v="2026年南京ToB共享UPF扩容工程"/>
        <s v="2026年淮安ToB共享UPF扩容工程"/>
        <s v="2026年盐城ToB共享UPF扩容工程"/>
        <s v="2026年徐州第一批5G垂直行业专网项目"/>
        <s v="视频语音专线汇聚网络建设工程"/>
        <s v="DNS十二期软件开发项目"/>
        <s v="通信网络安全四期扩容项目"/>
        <s v="2024-2025年能力中台开发项目"/>
        <s v="2024-2025年企业数据中心开发项目"/>
        <s v="2024-2025年企业数据中心对外数据资源开发项目"/>
        <s v="2025年算力集群服务项目"/>
        <s v="2025年IT云利旧服务器搬迁工程"/>
        <s v="苏州固网IMS诈骗电话防范系统试点项目"/>
        <s v="周边好生活平台一期软件开发项目"/>
        <s v="基于统一DPI的网络安全数据底座试点项目"/>
        <s v="无锡车路云一体化试点研发环境项目"/>
        <s v="2026年业务支撑系统ZZKK替换科创节点工程"/>
        <s v="2025年互联网业务探针宽带管家系统软件开发项目"/>
        <s v="高可靠网络安全能力示范二期工程"/>
        <s v="2025年业务支撑网系统开发一期项目"/>
        <s v="2025年智慧家庭服务管理平台软件开发项目"/>
        <s v="2025年AI数智助理个人客户端软件开发项目"/>
        <s v="2025年互联网电视能力提升平台软件开发项目"/>
        <s v="2025年DCN扩容项目"/>
        <s v="2025年异常流量及流量流向分析平台扩容项目"/>
        <s v="2025年产品全生命周期管理与支撑平台软件开发项目"/>
        <s v="互联网骨干网抗DDoS攻击系统六期工程_江苏公司"/>
        <s v="2026年业务支撑系统ZZKK替换江北节点工程"/>
        <s v="2025年业务支撑运营管理平台开发项目"/>
        <s v="上网日志集中存储平台六期工程_江苏公司"/>
        <s v="2025年电子渠道运营支撑开发一阶段项目"/>
        <s v="2025年信令监测系统采集平台改造工程"/>
        <s v="办公楼宇数字建维孪生平台二期扩容工程"/>
        <s v="2025年互联网电视业务管理平台（HDC）及视联网业务融合运营管理平台一阶段软件开发项目"/>
        <s v="2025年云资源池运营质量分析系统开发项目"/>
        <s v="2025年业务支撑系统老旧设备替换工程"/>
        <s v="2025年大语音业务运营管理平台建设项目（软件部分）"/>
        <s v="2026年业务支撑系统ZZKK替换江浦节点工程"/>
        <s v="2026年业务支撑系统ZZKK替换软件节点工程"/>
        <s v="2025年涉诈域名处置能力建设硬件改造项目"/>
        <s v="2025年涉诈域名处置能力建设软件开发项目"/>
        <s v="2025年业务支撑网系统开发二阶段项目"/>
        <s v="2025年电子渠道软件开发项目"/>
        <s v="2025年中国移动互联网国内网间出口九期江苏节点配套网间流控项目"/>
        <s v="2025年智慧健康服务二级平台软件开发项目"/>
        <s v="2025年数字空间业务平台软件开发项目"/>
        <s v="2025年异常流量及流量流向分析平台二期扩容项目"/>
        <s v="2025年智慧机房运营管理系统开发项目"/>
        <s v="2025年信令监测系统语音采集改造工程"/>
        <s v="2025年数智助手及智宇平台开发项目"/>
        <s v="2025年大语音业务运营管理平台建设项目（硬件部分）"/>
        <s v="2025年IT域商用密码应用项目"/>
        <s v="2025年管理信息系统软件开发项目"/>
        <s v="2025年网管系统运营支撑软件开发一阶段项目"/>
        <s v="2025年自动拨测系统扩容项目"/>
        <s v="2025年和力云能力开放平台日常优化软件开发项目"/>
        <s v="2025年移动网流量安全分析系统软件开发项目"/>
        <s v="2025年电子渠道运营支撑软件开发二阶段项目"/>
        <s v="2025年城域网扩容互联网信息安全管理系统同步改造项目"/>
        <s v="2025年防电信网络诈骗系统反诈综合管理软件开发项目"/>
        <s v="2025年互联网暴露面风险管控扩容项目"/>
        <s v="2025年网管系统软件开发项目"/>
        <s v="2025年5G新通话业务运营管理平台软件开发项目"/>
        <s v="2025年集客接入侧设备统一管理平台软件开发项目"/>
        <s v="2025年权益中心产品支撑平台日常优化软件开发项目"/>
        <s v="2025年权益中心用户服务平台日常优化软件开发项目"/>
        <s v="2025年通信+金融业务平台日常优化软件开发项目"/>
        <s v="2025年家庭云电脑运营管理平台日常优化软件项目"/>
        <s v="2025年视联网业务融合运营管理平台日常优化二阶段软件开发项目"/>
        <s v="2025年双屏SDK平台日常优化软件开发项目"/>
        <s v="2025年省级数字家庭管理平台（业务运营部分）日常优化软件开发项目"/>
        <s v="2025年玄武智慧运维平台软件开发项目"/>
        <s v="2025年营业终端安全管控系统项目"/>
        <s v="2025年互联网电视业务管理平台（HDC）日常优化二阶段软件开发项目"/>
        <s v="集中化彩铃系统四期工程_江苏公司"/>
        <s v="DNS十三期扩容软件开发项目"/>
        <s v="中国移动江苏公司2026年无线AI智能融合板数据分析处理单元项目"/>
        <s v="2025年六合机房老旧网络设备替换工程"/>
        <s v="通信网商用密码管理系统二期工程_江苏公司"/>
        <s v="2025年网管网全流量分析系统扩容项目"/>
        <s v="2025年省专协同平台日常优化软件开发项目"/>
        <s v="2025年12580平台日常优化软件开发项目"/>
        <s v="2025年数智云原生软件开发项目"/>
        <s v="2025年业务支撑网系统软件开发三阶段项目"/>
        <s v="2025年互联网电视运营能力提升平台日常优化软件开发项目"/>
        <s v="2025年资产安全管理平台软件开发扩容项目"/>
        <s v="2025年网络安全态势感知平台软件开发扩容项目"/>
        <s v="2025年互联网电视智慧运营分析平台项目日常优化软件开发项目"/>
        <s v="2025年支付金融能力平台日常优化软件开发项目"/>
        <s v="2025年互联网恶意流量防护系统软件开发扩容项目"/>
        <s v="2025年僵木蠕分析系统软件开发扩容项目"/>
        <s v="2025年行业端口智能管控系统建设项目"/>
        <s v="2025年跨境数据风险分析项目"/>
        <s v="2025年网络安全漏洞管理平台扩容项目"/>
        <s v="2025年12580语音平台软件开发项目"/>
        <s v="2025年信令监测系统采集扩容工程"/>
        <s v="IT网络安全五期扩容项目"/>
        <s v="2025年网管系统运营支撑软件开发二阶段项目"/>
        <s v="IMS诈骗电话防范系统六期工程_江苏公司"/>
        <s v="2026年信令监测系统码流回传改造工程"/>
        <s v="2025年家集客支撑综合调度中心配套系统建设项目"/>
        <s v="2026年信令监测系统服务器搬迁一阶段工程"/>
        <s v="垃圾短信治理省侧系统十期扩容项目"/>
        <s v="2025年信令监测系统合成层服务器利旧工程"/>
        <s v="2026年防火墙替换工程"/>
        <s v="2026年DaaS数据设施及应用开发项目"/>
        <s v="中国移动江苏公司传输小型化SPN设备管控一体OMC工程"/>
        <s v="2026年电子渠道支撑软件开发一阶段项目"/>
        <s v="2025年上网日志系统服务器搬迁工程"/>
        <s v="高频骚扰电话防范系统四期工程_江苏公司"/>
        <s v="网间虚假主叫监控系统新功能改造项目"/>
        <s v="2026年城域网扩容互联网信息安全管理系统同步改造一阶段项目"/>
        <s v="2026年江苏量子密码服务中心项目"/>
        <s v="中国移动江苏公司苏州低空经济技术试验网核心网工程"/>
        <s v="2026年AI终端管理平台软件开发项目"/>
        <s v="2026年DaaS数据设施苏州数据流通利用数联网软件开发项目"/>
        <s v="2026年CMNet流量监控平台一期工程"/>
        <s v="2026年境外来电及被叫反诈监测能力建设项目（软件开发）"/>
        <s v="2026年境外来电及被叫反诈监测能力建设项目（硬件部分）"/>
        <s v="2026年科创成果转化平台软件开发项目"/>
        <s v="2026年江苏行业短信网关升级改造项目"/>
        <s v="通信网络安全五期扩容项目"/>
        <s v="2025年涉诈互联网黑灰产分析预警平台软件开发项目"/>
        <s v="2026年连云港智算X节点工程项目"/>
        <s v="2025年Oracle Exadata一体机新建项目"/>
        <s v="2025年江苏云视讯会议系统建设项目"/>
      </sharedItems>
    </cacheField>
    <cacheField name="立项批复日期" numFmtId="0">
      <sharedItems containsSemiMixedTypes="0" containsNonDate="0" containsDate="1" containsString="0" minDate="2025-01-09T00:00:00" maxDate="2026-08-04T00:00:00" count="121">
        <d v="2025-09-09T00:00:00"/>
        <d v="2025-08-04T00:00:00"/>
        <d v="2025-10-22T00:00:00"/>
        <d v="2026-01-22T00:00:00"/>
        <d v="2025-09-14T00:00:00"/>
        <d v="2025-10-28T00:00:00"/>
        <d v="2025-12-03T00:00:00"/>
        <d v="2025-12-25T00:00:00"/>
        <d v="2025-03-31T00:00:00"/>
        <d v="2025-06-17T00:00:00"/>
        <d v="2026-02-26T00:00:00"/>
        <d v="2026-04-28T00:00:00"/>
        <d v="2026-04-29T00:00:00"/>
        <d v="2026-05-09T00:00:00"/>
        <d v="2026-06-05T00:00:00"/>
        <d v="2026-06-16T00:00:00"/>
        <d v="2026-06-29T00:00:00"/>
        <d v="2026-06-26T00:00:00"/>
        <d v="2025-01-26T00:00:00"/>
        <d v="2025-02-05T00:00:00"/>
        <d v="2025-11-13T00:00:00"/>
        <d v="2025-02-28T00:00:00"/>
        <d v="2025-03-27T00:00:00"/>
        <d v="2025-04-14T00:00:00"/>
        <d v="2025-05-26T00:00:00"/>
        <d v="2025-05-27T00:00:00"/>
        <d v="2025-06-18T00:00:00"/>
        <d v="2025-06-23T00:00:00"/>
        <d v="2025-07-21T00:00:00"/>
        <d v="2025-08-14T00:00:00"/>
        <d v="2025-08-18T00:00:00"/>
        <d v="2025-08-20T00:00:00"/>
        <d v="2025-08-28T00:00:00"/>
        <d v="2025-09-04T00:00:00"/>
        <d v="2025-09-11T00:00:00"/>
        <d v="2025-09-17T00:00:00"/>
        <d v="2025-09-23T00:00:00"/>
        <d v="2025-10-13T00:00:00"/>
        <d v="2025-11-14T00:00:00"/>
        <d v="2025-10-30T00:00:00"/>
        <d v="2025-10-31T00:00:00"/>
        <d v="2025-11-04T00:00:00"/>
        <d v="2025-11-11T00:00:00"/>
        <d v="2025-11-12T00:00:00"/>
        <d v="2025-09-28T00:00:00"/>
        <d v="2025-12-05T00:00:00"/>
        <d v="2025-11-18T00:00:00"/>
        <d v="2025-12-02T00:00:00"/>
        <d v="2025-02-10T00:00:00"/>
        <d v="2025-12-10T00:00:00"/>
        <d v="2025-12-24T00:00:00"/>
        <d v="2026-02-04T00:00:00"/>
        <d v="2026-02-24T00:00:00"/>
        <d v="2026-03-06T00:00:00"/>
        <d v="2026-03-10T00:00:00"/>
        <d v="2026-04-22T00:00:00"/>
        <d v="2026-04-24T00:00:00"/>
        <d v="2026-04-26T00:00:00"/>
        <d v="2026-05-20T00:00:00"/>
        <d v="2026-05-26T00:00:00"/>
        <d v="2026-06-30T00:00:00"/>
        <d v="2026-07-01T00:00:00"/>
        <d v="2026-07-03T00:00:00"/>
        <d v="2026-07-13T00:00:00"/>
        <d v="2025-01-09T00:00:00"/>
        <d v="2025-01-16T00:00:00"/>
        <d v="2025-01-27T00:00:00"/>
        <d v="2025-03-12T00:00:00"/>
        <d v="2026-02-12T00:00:00"/>
        <d v="2025-05-14T00:00:00"/>
        <d v="2025-05-16T00:00:00"/>
        <d v="2025-05-18T00:00:00"/>
        <d v="2025-05-20T00:00:00"/>
        <d v="2025-05-23T00:00:00"/>
        <d v="2025-06-28T00:00:00"/>
        <d v="2025-07-18T00:00:00"/>
        <d v="2025-07-28T00:00:00"/>
        <d v="2025-07-29T00:00:00"/>
        <d v="2025-08-06T00:00:00"/>
        <d v="2025-08-11T00:00:00"/>
        <d v="2025-08-15T00:00:00"/>
        <d v="2026-02-14T00:00:00"/>
        <d v="2026-02-09T00:00:00"/>
        <d v="2025-08-21T00:00:00"/>
        <d v="2025-09-02T00:00:00"/>
        <d v="2025-09-15T00:00:00"/>
        <d v="2025-10-10T00:00:00"/>
        <d v="2025-09-19T00:00:00"/>
        <d v="2025-10-20T00:00:00"/>
        <d v="2025-10-21T00:00:00"/>
        <d v="2025-12-01T00:00:00"/>
        <d v="2025-11-05T00:00:00"/>
        <d v="2025-11-07T00:00:00"/>
        <d v="2025-11-10T00:00:00"/>
        <d v="2025-11-19T00:00:00"/>
        <d v="2025-11-24T00:00:00"/>
        <d v="2025-11-27T00:00:00"/>
        <d v="2025-12-04T00:00:00"/>
        <d v="2025-12-08T00:00:00"/>
        <d v="2025-12-11T00:00:00"/>
        <d v="2025-12-29T00:00:00"/>
        <d v="2025-12-30T00:00:00"/>
        <d v="2026-01-26T00:00:00"/>
        <d v="2026-02-02T00:00:00"/>
        <d v="2025-04-28T00:00:00"/>
        <d v="2026-04-20T00:00:00"/>
        <d v="2026-02-03T00:00:00"/>
        <d v="2026-03-09T00:00:00"/>
        <d v="2026-04-10T00:00:00"/>
        <d v="2026-04-21T00:00:00"/>
        <d v="2026-04-23T00:00:00"/>
        <d v="2026-05-08T00:00:00"/>
        <d v="2026-05-19T00:00:00"/>
        <d v="2026-05-29T00:00:00"/>
        <d v="2026-06-09T00:00:00"/>
        <d v="2026-06-18T00:00:00"/>
        <d v="2026-07-06T00:00:00"/>
        <d v="2026-07-23T00:00:00"/>
        <d v="2026-08-04T00:00:00"/>
        <d v="2026-04-30T00:00:00"/>
        <d v="2025-09-03T00:00:00"/>
      </sharedItems>
    </cacheField>
    <cacheField name="分类" numFmtId="0">
      <sharedItems count="4">
        <s v="收入相关"/>
        <s v="拟取消"/>
        <s v="基础能力"/>
        <s v="支撑后端"/>
      </sharedItems>
    </cacheField>
    <cacheField name="工程责任人" numFmtId="0">
      <sharedItems count="7">
        <s v="孟振洋"/>
        <s v="刘栋"/>
        <s v="谭旭辉"/>
        <s v="金晓宏"/>
        <s v="钱镇"/>
        <s v="郑彤"/>
        <s v="丁峰"/>
      </sharedItems>
    </cacheField>
    <cacheField name="立项金额（万元）" numFmtId="180">
      <sharedItems containsMixedTypes="1" containsNumber="1" count="208">
        <n v="320"/>
        <n v="23827"/>
        <n v="3632"/>
        <n v="10100"/>
        <n v="786"/>
        <n v="689"/>
        <n v="421"/>
        <n v="191"/>
        <n v="1521"/>
        <n v="190"/>
        <n v="7711"/>
        <n v="364"/>
        <n v="720"/>
        <n v="433"/>
        <n v="966"/>
        <n v="4931"/>
        <n v="5426"/>
        <n v="3379"/>
        <n v="1526"/>
        <n v="830"/>
        <n v="428"/>
        <n v="716"/>
        <n v="2587"/>
        <n v="663"/>
        <n v="2119"/>
        <n v="155"/>
        <n v="107"/>
        <n v="77.87"/>
        <n v="12896"/>
        <n v="30"/>
        <n v="1244.5999999999999"/>
        <n v="7530"/>
        <n v="29"/>
        <n v="177"/>
        <n v="68.349999999999994"/>
        <n v="209"/>
        <n v="95"/>
        <n v="82.1"/>
        <n v="482"/>
        <n v="314"/>
        <n v="297"/>
        <n v="405"/>
        <n v="207"/>
        <n v="165"/>
        <n v="295"/>
        <n v="168"/>
        <n v="312"/>
        <n v="521"/>
        <n v="106.5"/>
        <n v="160"/>
        <n v="58"/>
        <n v="132"/>
        <n v="175"/>
        <n v="40.1"/>
        <n v="19247"/>
        <n v="457"/>
        <n v="615"/>
        <n v="607.79999999999995"/>
        <n v="45"/>
        <n v="1990.25"/>
        <n v="493.58"/>
        <n v="97.92"/>
        <n v="6962"/>
        <n v="332"/>
        <n v="6066"/>
        <n v="129"/>
        <n v="126"/>
        <n v="3044"/>
        <n v="789"/>
        <n v="4790"/>
        <n v="29892"/>
        <s v="_x000a_1668"/>
        <n v="447"/>
        <n v="4899"/>
        <n v="6428"/>
        <n v="40.39"/>
        <n v="518"/>
        <n v="42.06"/>
        <n v="45.35"/>
        <n v="112"/>
        <n v="71.41"/>
        <n v="72"/>
        <n v="1910"/>
        <n v="55.47"/>
        <n v="1315"/>
        <n v="2443"/>
        <n v="213.84"/>
        <n v="1721"/>
        <n v="111"/>
        <n v="545.70000000000005"/>
        <n v="135.52000000000001"/>
        <n v="27"/>
        <n v="2120"/>
        <n v="594"/>
        <n v="150"/>
        <n v="154.30000000000001"/>
        <n v="544"/>
        <n v="120.71"/>
        <n v="141.80000000000001"/>
        <n v="70"/>
        <n v="58.1"/>
        <n v="435"/>
        <n v="932"/>
        <n v="4572"/>
        <n v="3237"/>
        <n v="624"/>
        <n v="10746"/>
        <n v="369"/>
        <n v="38"/>
        <n v="1640"/>
        <n v="3432"/>
        <n v="17275"/>
        <n v="65"/>
        <n v="535"/>
        <n v="4850"/>
        <n v="395"/>
        <n v="346"/>
        <n v="402"/>
        <n v="1195"/>
        <n v="315"/>
        <n v="249"/>
        <n v="67"/>
        <n v="14565"/>
        <n v="821"/>
        <n v="56.8"/>
        <n v="634"/>
        <n v="555"/>
        <n v="370"/>
        <n v="212"/>
        <n v="86"/>
        <n v="9939"/>
        <n v="2853"/>
        <n v="1089"/>
        <n v="130"/>
        <n v="5526"/>
        <n v="382"/>
        <n v="60"/>
        <n v="214"/>
        <n v="883"/>
        <n v="390"/>
        <n v="4"/>
        <n v="1419"/>
        <n v="630"/>
        <n v="287"/>
        <n v="1821"/>
        <n v="121"/>
        <n v="148"/>
        <n v="406"/>
        <n v="410"/>
        <n v="1074"/>
        <n v="205"/>
        <n v="399"/>
        <n v="97"/>
        <n v="5592"/>
        <n v="185"/>
        <n v="218"/>
        <n v="164"/>
        <n v="879"/>
        <n v="244"/>
        <n v="186"/>
        <n v="135"/>
        <n v="470"/>
        <n v="296"/>
        <n v="293"/>
        <n v="400"/>
        <n v="289"/>
        <n v="25"/>
        <n v="234"/>
        <n v="350"/>
        <n v="324"/>
        <n v="6291"/>
        <n v="9354"/>
        <n v="368"/>
        <n v="105"/>
        <n v="290"/>
        <n v="17"/>
        <n v="51"/>
        <n v="140"/>
        <n v="266"/>
        <n v="203"/>
        <n v="243"/>
        <n v="526"/>
        <n v="784"/>
        <n v="619"/>
        <n v="124"/>
        <n v="216"/>
        <n v="176"/>
        <n v="174"/>
        <n v="98"/>
        <n v="2854"/>
        <n v="107.5"/>
        <n v="610"/>
        <n v="12"/>
        <n v="90"/>
        <n v="559"/>
        <n v="529"/>
        <n v="9"/>
        <n v="1509"/>
        <n v="448"/>
        <n v="690"/>
        <n v="427"/>
        <n v="562"/>
        <n v="265"/>
        <n v="840"/>
        <n v="202"/>
        <n v="450"/>
        <n v="533"/>
        <n v="239"/>
      </sharedItems>
    </cacheField>
    <cacheField name="项目阶段" numFmtId="0">
      <sharedItems count="4">
        <s v="工程验收阶段"/>
        <s v="项目实施阶段"/>
        <s v="勘察设计阶段"/>
        <s v="终验归档阶段"/>
      </sharedItems>
    </cacheField>
    <cacheField name="建设内容" numFmtId="0">
      <sharedItems count="212" longText="1">
        <s v="建设4台推理服务器及配套网络设备"/>
        <s v="建设1530台通算服务器、28台推理服务器、分布式存储、配套网络设备、安全设备、视频类对象分布式节点软件、云资源池管理、安全、运维管理等软件能力"/>
        <s v="在省内南京、无锡两个节点完成家庭云电脑业务平台建设，增加人工智能通用计算设备（XR渲染设备）87台、存储服务器99台、管理节点服务器14台、算网底座服务器10台和SCG服务器6台，以及网络和安全设备及软件系统一套"/>
        <s v="在省内南京、苏州、无锡三个节点完成B2B内容分发网络的扩容建设，完成省内CDN系统华为平面的点播节点586G容量及内容中心1000G容量、自研节点点播及直播2774G容量的扩容，同时完成软件业务功能升级，满足集团CDN流量从华为、中兴平面回迁至自研平台的要求"/>
        <s v="建设10台推理服务器及配套网络设备"/>
        <s v="建设8台推理服务器及配套网络设备"/>
        <s v="建设4台推理服务器"/>
        <s v="建设23台智算推理服务器及配套网络设备"/>
        <s v="建设3台推理服务器"/>
        <s v="建设399台通算服务器、40台推理服务器、配套网络设备及相关管理软件"/>
        <s v="新建算力服务器10台、算力卡80卡，并按需建设配套的网络设备"/>
        <s v="建设3台推理服务器及配套网络设备。"/>
        <s v="建设10台推理服务器及配套网络设备。"/>
        <s v="建设26台推理服务器、10台通算服务器及配套网络设备"/>
        <s v="建设20台推理服务器、1套分布式存储、资源管理软件及配套网络设备等"/>
        <s v="建设19台推理服务器及配套网络设备"/>
        <s v="建设6台推理服务器"/>
        <s v="建设8台推理服务器"/>
        <s v="建设7台推理服务器及配套网络设备"/>
        <s v="建设5台推理服务器及配套网络设备"/>
        <s v="扩容一批DPI设备性能板卡覆盖3.1T链路，针对性能不足处理不足节点裂点覆盖8.9T，新增5.6T链路监测能力，新建95台XDR话单服务器、15台平台管理服务器等"/>
        <s v="对苏州现网2台共享UPF进行软硬件扩容，扩容容量30万PDU会话"/>
        <s v="对无锡现网2台共享UPF进行软硬件扩容，扩容容量20万PDU会话"/>
        <s v="采用大立项精方案模式，共计建设2套专用型边缘UPF设备，后期根据实际项目进展进行精方案的编制、审批和建设"/>
        <s v="网络云七期共新建23个资源池、扩容41个资源池，建设总规模约1.11万台服务器，其中新增计算服务器0.87万台、存储服务器41.9PB（约0.16万台），利旧计算服务器0.07万台、存储服务器0.01万台3PB，同时新增组网、安全等设备"/>
        <s v="在虎踞路3楼机房新建1台业务接入路由器替换原2楼设备，完成业务割接后原设备板卡利旧至江浦机房业务路由器扩容"/>
        <s v="建设iBNG管控平台一套；全省26台BRAS扩容70块SA板卡，扩容26套CGN license"/>
        <s v="完成业务支撑网B域、O域21个应用系统老旧设备替换和地市统一支撑平台等系统数据库服务器的替换，建设服务器726台、存储4台及其配套网络安全设备和虚拟化软件"/>
        <s v="在泰州梅兰新材料有限公司数据中心建设1套专用型边缘UPF设备"/>
        <s v="采用大立项精方案模式，共计建设5套专用型边缘UPF设备，后期根据实际项目进展进行精方案的编制、审批和建设"/>
        <s v="在南京南钢智慧中心A座1楼机房建设1套专用型边缘UPF设备"/>
        <s v="采用大立项精方案模式，共计建设6套专用型边缘UPF设备，后期根据实际项目进展进行精方案的编制、审批和建设"/>
        <s v="在苏州新建2台ToB共享UPF及配套数通等设备，共计新增容量40万PDU会话"/>
        <s v="在无锡惠山8层机房、太科园3层机房各新建1套ToB共享UPF（UDG），共计新增容量30万PDU会话，并同步扩容配套数通、分光/光放等设备"/>
        <s v="徐州地区BRAS/SR新增136个等效10G端口等"/>
        <s v="南通地区BRAS/SR新增190个等效10G端口，替换5台诺基亚贝尔BRAS等"/>
        <s v="镇江地区BRAS/SR新增140个等效10G端口等"/>
        <s v="泰州地区BRAS/SR新增80个等效10G端口，替换3台诺基亚贝尔BRAS等"/>
        <s v="无锡地区BRAS/SR新增502个等效10G端口，替换4台诺基亚贝尔BRAS等"/>
        <s v="盐城地区BRAS/SR新增230个等效10G端口等"/>
        <s v="淮安地区BRAS/SR新增300个等效10G端口等"/>
        <s v="南京地区BRAS/SR新增400个等效10G端口等"/>
        <s v="苏州地区BRAS/SR新增580个等效10G端口，替换7台诺基亚贝尔BRAS等"/>
        <s v="连云港地区BRAS/SR新增130个等效10G端口等"/>
        <s v="宿迁地区BRAS/SR新增188个等效10G端口，替换2台诺基亚贝尔BRAS等"/>
        <s v="采用大立项精方案模式，共计建设4套专用型边缘UPF设备，后期根据实际项目进展进行精方案的编制、审批和建设"/>
        <s v="采用大立项精方案模式，共计建设3套专用型边缘UPF设备，后期根据实际项目进展进行精方案的编制、审批和建设"/>
        <s v="在泰州恒力制动器制造有限公司数据中心建设1套专用型边缘UPF设备"/>
        <s v="在淮安市第三人民医院建设1套专用型边缘UPF设备"/>
        <s v="在张家口、韶关、深圳共增设6个骨干核心节点；省际带宽扩容95.8Tbps、撤销29.2Tbps，到达652.7Tbps；开展42台现网设备自主可控替代"/>
        <s v="在张家口、韶关、庆阳、芜湖共增设8个骨干核心节点；新增甘肃-新疆等16个省际局向；省际带宽新增12.1Tbps、撤销16.4Tbps，到达43.2Tbps；开展62台现网设备自主可控替代"/>
        <s v="首次引入核心网数字孪生体系，在浙江、河南、广东、江苏等先发省份建设孪生载体测试床，实现FOA测试加速和业务创新赋能新技术验证；建设孪生平台，通过网络孪生模块实现复杂容灾信令冲击预演、容灾历程仿真等新技术验证，通过业务孪生模块实现高价值用户感知仿真等新技术验证，赋能精准建设和精细化运营"/>
        <s v="利用苏北16套华为ATCA设备组成2个跨地市大POOL，替换苏北全部华为CPCI端局，16套ATCA设备利旧CPCI硬件扩容到450万用户/套；利旧南京、苏州共4只华为GMSC和4只DM，利旧2只华为eMSC和4只eMGW，共6套MSC SERVER和8套MGW，新建1个华为MSC POOL，替换苏南全部爱立信端局"/>
        <s v="建设2025年VoNR+网络新技术（新通话四期试点）试点测试环境"/>
        <s v="在南京集中新建I-SBC设备，建设总规模为60.4万ERL，硬件一次建设到位，软件分批建设，第一批次软件建设容量为22.9万ERL，其中包含13.6万ERL新增容量、9.24万ERL替换容量"/>
        <s v="对苏州、无锡、南通、常州、镇江等5个地市的83套BSC进行AOIP改造，接入新建的苏南华为MSC POOL"/>
        <s v="对镇江现网2台ToB共享UPF进行软硬件扩容，扩容容量17.2万PDU会话"/>
        <s v="统筹全网资源，根据业务需求、现网资源使用情况优化带宽布局，持续提升IP专用承载网承载效能；对扩容节点开展非自主可控设备、板卡替换，确保2026年IP专用承载网自主可控比例达到100%"/>
        <s v="扩容网间互联带宽13.4Tbps，其中为保证重点客户感知设置保障通道带宽7.4Tbps；开展非自主可控设备、板卡替换，确保2025年国内网间出口设备全部实现自主可控"/>
        <s v="（一）物联网4G/5G/NB融合核心网：SMF/SAEGW-C/GGSN-C、融合CHF/CG扩容基础容量2669万承载PDP、5G容量2190.5万PDU会话；省级专线UPF扩容基础容量2708.8万承载PDP、5G容量2646.3万PDU会话；四融合AUSF/UDM/UDR扩容基础容量4647万动态用户、5G容量496万动态用户、VoIMS容量2217万动态用户；数据业务二融合PCF/UDR扩容5G容量514万PDU会话；新增信令安全网关62套，满足2540套等效UPF节点的接入需求。（二）物联网IMS核心网：ISE-CSCF/BGCF、VoLTE AS、物联网二级ENUM/DNS等IMS网元扩容1940万用户容量；智能网SCP/AS/SCP扩容1902万用户容量；OMC运维分析工具新增3370用户容量。（三）物联网融合消息中心：扩容1876万忙时注册用户，新增MSC/VLR联合附着功能容量31938万户。（四）新技术新功能升级：择优引入网联无人机、XR、双发选收、内生安全、语音用户数据故障Bypass、网投查询等新功能"/>
        <s v="新增支持3247万语音保障容量（其中1945万5G网络接入使用用户）业务发展需要，按需扩容AMF/MME、I-SMF/SGW-C、CHF/CG、I-UPF/SGW-U、NRF、DRA等网元：（1）在网络云八大区资源池扩容AMF/MME、I-SMF/SGW-C、CHF/CG，其中AMF/MME新增基础容量3247万户、5G容量1945万户，I-SMF/SGW-C、CHF/CG新增基础容量6494万承载、5G容量3890万PDU会话；（2）在网络云华北（河北）、华南（广东）大区扩容NRF、DRA，其中NRF扩容1945万户、DRA扩容3.2万MPS；（3）在31省省中心扩容I-UPF/SGW-U，新增基础容量6494万承载、5G容量3890万PDU会话"/>
        <s v="完成现网IDC系统中50台老旧网络设备的替换，消除网络关键隐患；新增4台服务器，完成对IDC信息系统的CU控制单元、网络安全模块进行升级改造，满足两部委考核创新试点工作要求"/>
        <s v="IDC汇聚路由器和城域网核心路由器共扩容65套100G板卡license、11套10G板卡license；全省12台核心路由器升级至3.2T平台等"/>
        <s v="5G核心网、用户数据、智能策略控制、自智网络"/>
        <s v="HNRF/SCP：新增转接能力61万MPS；LNRF/SCP：新增用户容量0.54亿户、转接能力222万MPS；计费NRF：新增用户容量0.54亿户"/>
        <s v="为满足集团公司关键信息基础设施国产化替代工作要求，完成DNS关键系统54台服务器替换与改造"/>
        <s v="高铁专网用户行为精准识别、UPF业务识别及体验评估能力提升、NWDAF保障数据分析"/>
        <s v="满足至2026年底9.8亿VoLTE/VoNR用户、1.2亿新通话智能应用用户和5亿智能网用户业务需求"/>
        <s v="对泰州现网2台ToB共享UPF进行软件扩容，共扩容10万PDU会话"/>
        <s v="新建31对CBCF：每省设置1对，按照1+1容灾方式部署于“8+X”大区中心；升级全网约160套AMF设备：根据现网AMF POOL挂接5G基站规模大小，每省每POOL选取1对-2对AMF进行升级改造"/>
        <s v="对扬州现网2台ToB共享UPF进行软件扩容，共扩容10万PDU会话软件（2套UPF平分），总计达到20万PDU"/>
        <s v="对南通现网2台ToB共享UPF进行软件扩容，共扩容11万PDU会话软件（2套UPF平分），总计达到30万PDU"/>
        <s v="对盐城现网2台ToB共享UPF进行软件扩容，共扩容10万PDU会话软件（2套UPF平分），总计达到20万PDU"/>
        <s v="完成IT云虎踞路59号一楼机房设备搬迁利旧，包括5台一体机、27台服务器和配套存储、网络等设备，同时配套建设6台数据中心交换机、9台低端三层交换机等网络设备"/>
        <s v="对淮安现网2台ToB共享UPF进行软件扩容，共扩容17.7万PDU会话软件（2套UPF平分），总计达到30万PDU"/>
        <s v="升级现网ToC AMF支持异网漫游功能（江苏一对，安徽一只），新建一对BG支持用户面互联互通"/>
        <s v="全省各区县BRAS共扩容190块MPC智能板卡"/>
        <s v="在南通招商局重工（江苏）有限公司厂区机房内建设1套专用型边缘UPF设备，系统容量2万PDU、20Gbps"/>
        <s v="配合南京、南通、盐城三个地市相关IDC机房出口带宽的扩容，同步完成IDC DPI系统配套建设；全省完成6800G带宽处理能力DPI设备及XDR服务器的建设，同时利用下线带宽3930G的DPI处理能力完成现网1600G处理能力DPI设备及XDR服务器的替换"/>
        <s v="完成南京、苏州、南通、盐城、泰州五个地市相关IDC机房出口带宽的调整及扩容，全省新增IDC出口带宽6800G、撤消出口带宽3930G，共计完成出口带宽扩容2870G，同步完成网络及信息安全设备的扩容"/>
        <s v="IDC汇聚路由器和城域网核心路由器共扩容21套100G板卡license；PSR扩容28块100G板卡"/>
        <s v="采用大立项精方案模式，共计建设10套专用型边缘UPF设备，后期根据实际项目进展进行精方案的编制、审批和建设"/>
        <s v="在常州新建一套共享UPF、扩容软件容量16万PDU会话"/>
        <s v="控制面对中兴新通话试点资源池扩容，并在其上部署家庭UDM、家庭AAA、家庭SMF、家庭CHF虚拟测试网元，用户面新建2台UPF测试网元，新建控制面及用户面测试网元与现网toC核心网及CMNET对接，联合搭建人家互联试点网络"/>
        <s v="全省地市分公司BRAS/SR共扩容2780个10G等效端口"/>
        <s v="新增1.2亿智能网用户容量，新增一键拉起多方语音通话、国漫V网、跨省集团V网、跨省融合V网、固话安全管控等5项新功能，进行34套虚拟化网元搬迁"/>
        <s v="在苏州新建一套共享UPF、扩容软件容量20万PDU会话"/>
        <s v="在南通新建一套共享UPF、扩容软件容量15万PDU会话"/>
        <s v="在徐州新建一套共享UPF、扩容软件容量10万PDU会话"/>
        <s v="在南京新建四套共享UPF、扩容软件容量40万PDU会话，以及配套分光和数通设备"/>
        <s v="在淮安新建一套共享UPF、扩容软件容量15万PDU会话"/>
        <s v="在盐城新建一套共享UPF、扩容软件容量16万PDU会话"/>
        <s v="每分公司各新建一对交换机用于视频语音专线本地汇聚"/>
        <s v="对集团要求的“自解析内循环”应急保障和规范化域名封堵处置功能、域名急救产品的监控告警功能和完善精准调度产品能力及省内CDN合作客户TTL优先刷新保障和IP地址反向解析产品化支撑功能开展研发改造"/>
        <s v="提升态势感知、合规管控、基础防护三大能力，开展1+6+X防护技术手段的扩容，进行威胁感知分析、安全运营智能体、资产四单一致、动网指令管控、安全基线检查、终端数据保护、可信访问控制等方面建设"/>
        <s v="聚焦客户，锻造产品、渠道和服务能力，通过数字员工队伍建设、AI能力优化提升、大模型应用场景应用，加速AI+规模突破；加强数据整合和需求挖掘，构建指标数智自助能力，实现政企项目融能支撑"/>
        <s v="开展企业数据中心的营销服务体系、内部IT治理、AI+赋能生产流程、支撑对外变现等方面的软件开发工作"/>
        <s v="开展企业数据中心文旅、公安、金融等行业应用模型群、引入高德等内外部数据资源完善基础数据资产体系等方面的软件开发工作"/>
        <s v="新增算力服务器1466台"/>
        <s v="根据IT云机房的整合计划，对腾退机房的515台服务器、7台一体机及相关存储、网络设备等进行搬迁利旧使用，同时配套建设28台数据中心交换机等网络设备"/>
        <s v="在苏州塔园路和园区固话IMS机房增加92台分光设备和5台汇聚设备完成IMS注册类固话的媒体和信令数据采集；在南京江北数据中心机房增加1台汇聚设备，用于接收采集的固话IMS数据，并传送给省通信管理局系统"/>
        <s v="依托互联网电视运营平台，面向家庭场景首期新建AI数智助理服务管理模块、商户（社区）信息服务模块、家庭周边服务信息互通模块、用户自控制终端数据管理模块四大核心模块"/>
        <s v="利旧现网45台通用服务器和12台用户面探针设备，并由中兴公司负责提供14台控制面探针设备、9台交换机和试点软件，在苏州汾湖、园区、塔园路、昆山前进西路、吴江中山和南京浦口高新机房完成基于统一DPI的网络安全数据底座试点系统建设和功能验证"/>
        <s v="构建网联信息预警类、协同辅助驾驶类和协同自动驾驶类共3类多种场景的系统验证体系，建成城市道路150公里和高快速路30公里的感知基础设施，实现全域基于5G的车联网专网服务，建立2个边缘节点下沉、1个区域节点"/>
        <s v="建设不超过1251台服务器及其配套网络设备，满足网络部ZZKK替换需求"/>
        <s v="新增1套应用开发软件，对测速稳定性增强、测速准确性提升、测速安全性及一致性校验、全渠道测速能力支撑、4/5G/WIFI/有线一体化测速能力支撑、测速数据多维度统计分析、家庭组网路由器终端库管理、第三方测速能力引入等能力提升开展功能改造"/>
        <s v="对苏州汾湖数据中心的一体化安全可信防护系统进行扩容，包括安全态势感知系统、僵木蠕检测系统、集群网络抗DDoS系统、安全能力资源池、商用密码管理系统和统一认证与4A平台；新增2台路由器、2台交换机、2台防火墙、2台抗DDOS设备、1台僵木蠕检测设备和12台服务器，并进行功能改造和优化"/>
        <s v="在支撑网现网基础上进行应用软件开发，包括升级CHBN融合营销支撑能力、强化数据赋能营销体系、加速AI赋能业务支撑、推进综合办公数智转型等相关需求的开发"/>
        <s v="开发建设面向用户的智慧家庭服务管理平台，整合各品牌家庭智能设备的协议与规范，用户无需依赖各品牌单独的APP，统一使用移动提供的客户端，实现智能家居控制、场景联动、自动化配置、告警联动、AI服务等功能服务"/>
        <s v="基于周边好生活业务系统为后端系统，开发集观影、个人事务管理、社区服务、购物、旅游、智能家居控制以及语音交互等多种功能于一体的AI数智助理个人客户端"/>
        <s v="基于现网互联网电视能力提升平台，开发增加智能运营支撑模块，实现家庭客户端服务子系统、AI信息创作子系统、流量投放管理子系统等相关功能"/>
        <s v="新增26台高端路由器、352台低端三层交换机、2台高端防火墙、50台中低端防火墙、2台WAF、1套网络流量溯源系统；扩容2块数据中心交换机板卡"/>
        <s v="异常流量及流量流向分析平台扩容软件一套"/>
        <s v="完成2025年产品全生命周期管理与支撑平台软件开发，重点围绕产品管理平台门户、产品全生命周期管理、平台基础能力等方面进行建设，实现产品全生命周期各环节的数字化、智能化，强化对一线营销的支撑赋能"/>
        <s v="该工程升级应用层DDoS攻击防御端网联动能力，扩展新型DDoS攻击防御能力，并在北京、上海等5个骨干节点合计扩容2.6Tbps骨干清洗能力"/>
        <s v="建设不超过1083台服务器及其配套网络设备，满足数智化部、渠道网格运营中心、网络与信息安全管理中心ZZKK替换需求"/>
        <s v="从架构演进、监控能力演进、运维管理能力提升、数智化运营能力提升4方面，对业务支撑运营管理平台相关应用软件功能升级改造"/>
        <s v="新增基于DNS日志的每日域名上报功能，扩充查询及反馈字段，完善常见问题的溯源定位及排查能力；同时提升日志查询并发量及响应时间等性能指标"/>
        <s v="在电渠系统现网基础上进行应用软件开发，包括提升统一登录体验、建立性能治理机制、推进营销资源券化等电渠能力的开发"/>
        <s v="在信令监测系统现网基础上进行改造，扩容3套插卡式汇聚设备和34块增强业务卡，将信令数据处理后送给使用方系统"/>
        <s v="完成全省16栋办公楼宇的数据采集和建模工作，改造完善9个BIM软件模型，完成区县级楼宇资产信息的平台纳管；升级基于数字孪生技术的智慧楼宇底座模型，融合门禁、监控等多维数据，对楼宇节能、工位覆盖优化等场景进行模拟仿真，优化数据传输设计，逐步实现全省办公楼宇的集中运营"/>
        <s v="基于现网互联网电视业务管理平台（HDC）及视联网业务融合运营管理平台完成软件功能升级改造开发，包括HDC平台改造开发增值订购及用户运营、数据分析及驾驶舱、基础能力及多形态支撑等三个模块，视联网平台改造开发AI智能眼镜流程管理、CH数据资产及设备管理功能优化、统计分析报表和功能优化等三个模块"/>
        <s v="在云资源池运营质量分析系统现网基础上进行应用软件开发，构建移动大云、华为合营云、省内自建云等公有云重客业务分析支撑能力"/>
        <s v="对业务支撑系统老旧设备进行替换，建设服务器1037台及其配套存储、网络设备、安全设备和虚拟化软件"/>
        <s v="建设大语音业务运营管理平台，实现精准AI实时风控监测，以“风险预判-精准拦截-深度治理”全链路管控为核心，覆盖注册类、非注册类语音业务事前、事中、事后端到端管理流程"/>
        <s v="建设不超过193台服务器及其配套网络设备，满足产品运营中心ZZKK替换需求"/>
        <s v="扩容不超过157个数据库节点许可和378个虚拟化软件许可，满足业务支撑系统国产化替换需求"/>
        <s v="升级DNS设备功能，支持100万个黑名单域名和10万个黑名单域处置功能，结合DNS系统负荷按需进行硬件扩容和存量老旧设备替代（本项目为涉诈域名处置能力建设的硬件改造部分）"/>
        <s v="升级DNS设备功能，支持100万个黑名单域名和10万个黑名单域处置功能（本项目为涉诈域名处置能力建设的软件开发部分，硬件扩容与替换在硬件改造项目中完成）"/>
        <s v="在业务支撑网现网基础上进行应用开发，包括升级CHBN融合营销支撑能力、强化数据赋能营销体系、加速AI赋能业务支撑、推进综合办公智能转型等应用开发"/>
        <s v="在电子渠道系统现网基础上进行应用软件开发，完成电子渠道系统所有数据库的国产化改造、用户异动洞察和规范服务质量能力建设"/>
        <s v="在南京直联点同步扩容DPI两套，覆盖电信方向、联通方向新增链路各5*100G"/>
        <s v="完成智慧健康服务二级平台软件开发，打通医院挂号、在线问诊能力，提供AI问诊、预约挂号等健康服务，围绕守护、睡眠、跌倒、陪伴四大场景，基于分级服务调度体系、自有通信数据分析，打造适老化亲情守护模型，打造大屏语音交互、小屏服务入口，构建康养产品商城、呼叫服务中心，形成江苏移动专属的智慧健康生活平台"/>
        <s v="完成数字空间业务平台软件开发，新增建设M-Space资产汇聚和XR运营管理两大模块，打造数字藏品、XR大空间等标准化产品服务，打通内容创作、展示及交易的全链路，打造公司数字内容生态；面向B端提供元宇宙XR、数字资产发行等标准化解决方案"/>
        <s v="平台扩容99万flow流量采集能力、22万flow数据挖掘能力、100万flow流量转发能力、5台报表服务器"/>
        <s v="建设智慧机房运营管理系统，拉通机房运营管理各环节并整合EPMS、EOMS、故障管理系统等现有系统流程，实现系统与流程的高效协同，开发机房进出管理、机房内操作管控数智化、机房内异常识别自动化、汇聚机房全景可视化、打造AI智能体等能力"/>
        <s v="在信令监测系统现网基础上，配套核心网ISBC、2G语音等网元改造，同步调整语音信令采集"/>
        <s v="在数智助手现网基础上新建员工个人助手，增加灵犀助手、网络运维助手应用场景；在智宇平台基础上增强大模型开发工具链和AI基座能力"/>
        <s v="重点开展IT域4A系统及号卡集中化渠道支撑系统商用密码应用改造、IT域商用密码管理平台建设等内容，保障相关业务系统顺利通过商用密码应用安全性评估，满足两部委考核要求"/>
        <s v="面向公司管理信息领域中的战略、办公、党建、财务、人力、审计、巡视、供应链、工会等领域相关系统进行软件升级改造"/>
        <s v="在网管系统现网基础上进行应用软件开发，包括政企市场单点版FTTO-H业务开通流程编排、家客市场装维电子确认单、企宽接口选址、基站退服故障预判等功能优化"/>
        <s v="在自动拨测系统现网基础上进行扩容，包括新增48台拨测设备和搬迁利旧部分现网拨测设备，满足互联网业务质量分析需求"/>
        <s v="基于现有平台完成软件功能升级改造的开发，包括现有业务流程升级改造、建设事件营销能力、提升投诉处理数智化支撑能力、打造商机单业务流程四个方面"/>
        <s v="重点开展省端移动网流量安全监测管理平台和流量安全监测处置能力升级改造，包含省端流量安全监测处置平台升级、涉诈APP预警处置能力升级、新增高质量专项数据对接功能、新增MD5封堵模块、升级流量实时采集及数据提取还原等能力"/>
        <s v="在电子渠道系统现网基础上进行应用软件开发，包括营销活动、微店能力及营销卡券等相关功能开发"/>
        <s v="按照2025年城域数据网（CMNet）核心路由器扩容项目扩容后的上行带宽同步扩容光放大器、一分四分光器和汇聚分流设备，以实现对互联网专线流量全量管控，满足两部委考核要求"/>
        <s v="根据集团公司反诈平台技术要求进行系统功能优化与改造，包括集团联动处置功能升级、手机号码治理、固话号码治理、地市功能模块部署、DeepSeek大模型应用、整体系统迁移及国产化升级等"/>
        <s v="重点开展网络空间资产探测能力扩容和互联网恶意网址监测拦截报送能力建设，提升互联网暴露面安全管控能力"/>
        <s v="在网管系统现网基础上进行应用软件开发，重点推进门户入口收敛、打造各领域智能体18个、沉淀原子能力130个，推进网管系统向AI原生网管目标架构演进"/>
        <s v="基于现有平台完成5G新通话AI智能体应用、用户业务功能升级、管理后台等三大功能模块的软件开发升级"/>
        <s v="在集客接入侧设备统一管理平台现网基础上进行应用软件开发，实现FTTO接入设备管理、专线卫士接入设备管理、集客语音安全管理和国产化数据库改造等功能"/>
        <s v="基于现有平台完成软件功能升级改造的开发，包括集团福袋业务模型升级、集团福袋场景化功能建设、集团福袋商城升级及权益业务底座能力升级四个方面"/>
        <s v="基于现有平台完成软件功能升级改造的开发，包括权益多模态业务体系打造、属地商户经营与平台协作优化、智能能力与数智总线锻造、营销可视化编排拓展、三位一体监控平台建设及技术底座夯实六个方面"/>
        <s v="基于现有平台完成软件功能升级改造的开发，包括保险业务智能风控与运营升级、超级SIM生态化运营服务能力建设、平台基础支撑能力升级、产品矩阵创新与精准运营赋能、数据安全与合规管理体系强化、跨终端服务能力优化与拓展六个方面"/>
        <s v="基于现有平台完成软件功能升级改造的开发，包括云电脑屏幕管理功能优化、跨生态跨终端AI交互管理、云电脑计费管理升级；Windows应用智能感知和运营、应用及权益运营升级、节点级和单用户级的质量监控和告警等方面"/>
        <s v="基于现有平台完成软件功能升级改造的开发，包括AI智能眼镜流程管理、日常报表统计分析优化、系统管理三个方面"/>
        <s v="基于现有平台完成软件功能升级改造的开发，包括微短剧业务体系建设、智能营销体系、智慧运营能力、平台自主可控四个方面"/>
        <s v="基于现有平台完成软件功能升级改造的开发，包括升级智能组网管理、智能终端管理、家庭潜客模型管理三个方面"/>
        <s v="在ICT统一接入网管平台现网基础上进行应用软件开发，建设玄武智慧运维平台，完成对外基础能力提升、全省ICT项目运维管理能力开发和数据库国产化改造等相关功能开发，实现内外部ICT接入网管能力融合发展"/>
        <s v="重点开展营业终端安全管控系统管理控制中心、准入控制网关和终端客户端软件建设，提升营业终端安全管控水平"/>
        <s v="基于现有平台完成软件功能升级改造的开发，包括增值订购管理、数据分析、合作方评价、客服支撑、基础能力、用户运营及融合营销七个方面"/>
        <s v="呼叫节点硬件规模扩容4512万用户、软件许可扩容3053万用户，新增和优化基于终端DC能力的互动视频彩铃、1080P高清视频彩铃自适应播放等10项软件功能"/>
        <s v="为满足集团公司关键信息基础设施国产化替代工作要求，对现有系统功能软件进行适配改造，完成国产数据库对开源数据库平滑替代"/>
        <s v="在南京建设1套无线OMC（操作维护中心）AI智能融合板数据分析处理单元"/>
        <s v="为六合机房设备改造，包括老旧网络设备的替换、存储备份网络双节点改造、13台GPU服务器搬迁到仪征机房搭建AI应用测试与开发环境等相关改造"/>
        <s v="完善总部密码管理平台，对网络部关基及重要系统，就远程管理通道、重要数据存储、网络传输、身份鉴别四个场景开展商用密码改造"/>
        <s v="重点开展网管网全流量分析平台日志存储与解析性能扩容、全流量探针设备扩容，完善流量检测与分析体系，提升网管网整体安全威胁检测能力"/>
        <s v="基于现有平台完成软件功能升级改造的开发，包括个人业务生态与数字资产创新升级、政企业务全场景服务能力提升、智能风控体系升级、平台效能与运营能力提升四个方面"/>
        <s v="基于现有平台完成软件功能升级改造的开发，包括新产品引入、平台能力升级、省公司个性化支撑、数智化转型及安全合规五个方面"/>
        <s v="在B域系统现网基础上进行软件开发，包括服务入口层11个专题、业务能力层12个专题、数智底座层5个专题、AI原生基础设施7个专题的功能开发"/>
        <s v="在支撑网现网基础上进行软件开发，包括市场领域7类需求、政企领域4类需求、数智能力及其他领域4类需求的功能开发"/>
        <s v="基于现有平台完成软件功能升级改造的开发，包括泛屏统一推荐、微细分运营、AI模型接入、泛终端融合、融媒体平台、AI统一播放器、画质增强七个方面"/>
        <s v="重点开展资产探测部省接口改造扩容、资产管理模型升级、资产数据质检改造扩容等能力建设，提升漏洞及恶意IP涉及资产的快速排查和定位能力"/>
        <s v="重点开展部侧安全中台与部侧安全态势感知平台上报、态势全流量采集能力、部侧溯源平台全网联动升级改造等能力建设，通过智能化手段提高安全事件告警的溯源、处置及时性与准确性"/>
        <s v="基于现有平台完成软件功能升级改造的开发，包括全屏智能推荐能力、AIGC能力建设、搜推智能体、长尾推荐算法优化四个方面"/>
        <s v="基于现有平台完成软件功能升级改造的开发，包括缴费充值收银台新支付通道引入、新渠道/平台接入开发支撑、多形态收银台开发支撑、省内易充值业务能力建设、支付收银台用户体验优化、营销活动开发支撑、金融账户流程优化提升、金融风控、系统强化等八个方面"/>
        <s v="重点开展应用层DDoS攻击检测模块扩容升级，包括新增配置接收能力、新增应用层指令下发接口、新增应用层DDoS攻击监测上报能力、新增应用层DDoS攻击快速检测智能模型等能力"/>
        <s v="重点开展僵木蠕前端设备检测能力、互联网僵木蠕管理平台能力、物联网僵木蠕管理平台能力等升级改造，强化网络安全技术保障，完善木马和僵尸网络监测与处置能力"/>
        <s v="对现有行业端口管控平台进行升级替代，通过人工智能分析能力，应用文本意图自动分析策略，训练适用于不同类型行业端口短信识别模型，实现数据对接与转发、智能分析研判、模型管理和标注、要素管理等功能，精准、高效、智能识别和拦截诈骗、营销等垃圾信息"/>
        <s v="根据省通信管理局考核和加分要求，建设跨境流量风险分析能力、跨境数据风险分析能力，对苏州、无锡、常州等地区城域网跨境流量进行监测和风险分析，并将监测分析的风险事件报送省管局平台，以提升跨境数据安全管控能力"/>
        <s v="重点开展网络安全漏洞管理平台功能扩容升级及考核分析探针扩容建设，满足工信部考核中关于上报数据及时性、排查范围完整性、修复加固有效性等要求，提升安全管控能力"/>
        <s v="对12580业务平台系统改造升级，实现12580语音门户的重构和智能语音能力建设"/>
        <s v="在信令监测系统现网基础上同步核心网进行扩容，包括新增苏州城南机房的采集、网络云七期码流回传、广电信令采集和IMS域信令采集扩容等"/>
        <s v="重点建设5G双域专网安全网关、自动化攻击验证、基线配置检测、安全智能体工具平台等能力，开展账号角色权限矩阵、涉敏行为管控、AI能力融合、安全运营门户、安全日志降噪、合规检测能力提升、数据资产安全管理等方面扩容改造"/>
        <s v="在网管系统现网基础上进行定制软件开发，满足政企业务、家客业务、网络优化、网络资源管理、故障监控调度和数据共享分析等网管支撑需求"/>
        <s v="扩容用户0.3亿，新增和优化国内漫出用户来话处置、告警、安全管控等9项软件功能，并对部分非自主可控节点进行自主可控改造"/>
        <s v="配套核心网网络云七期，在科创中心机房建设信令监测系统码流回传相关设备"/>
        <s v="在江北科创中心新办公场地完成基本装修的基础上实施相关系统的配套建设，包括定制化监控坐席、LED大屏系统、声讯系统等配套设施"/>
        <s v="对515台服务器进行搬迁利旧，满足南京、苏州、无锡等重点城市的信令监测系统HTTPS、通用类单据取消合并需求"/>
        <s v="根据工信部与集团公司最新要求对垃圾短信治理省侧系统进行改造，实现垃短治理系统预留号码识别通配符策略、端口短信报备信息鉴权、增强研判处置等功能系统拦截等功能"/>
        <s v="利旧191台服务器，对信令监测系统合成服务器进行扩容"/>
        <s v="新建10台防火墙，对现网防火墙进行替换"/>
        <s v="开展企业数据中心数据架构重构、大数据平台技术架构演进、属地深耕能力提升、品质管理数智能力新增、新型融合诈骗防控、支撑对外变现等方面的软件开发工作"/>
        <s v="在省IT云申请虚拟机资源，部署小型化SPN设备的集中管控一体OMC系统软件，且北向与接入侧设备管理及激活系统互通，实现统一管控"/>
        <s v="在电子渠道系统现网基础上进行应用开发，包括业务办理标准化与智能化、敏捷活动上线能力、卡券与AI智投联动等业务能力的开发"/>
        <s v="利旧40台服务器，对上网日志系统合成服务器进行扩容"/>
        <s v="扩容用户2.32亿，新增和优化闪信提醒、来电防护、移动安全管家互通等15项软件功能，并对部分非自主可控节点进行自主可控改造。"/>
        <s v="对现网华为网间虚假主叫监控平台系统进行软件功能改造，实现支持天通卫星业务VLR可配置功能、支持天通卫星业务放通可配置功能"/>
        <s v="按照2026年城域数据网（CMNet）一阶段建设项目扩容后的上行带宽扩容光放大器、一分四分光器、汇聚分流及网信安设备，以实现对互联网专线流量全量管控，满足两部委考核要求"/>
        <s v="建设省市两级量子密码服务中心，计划采用异厂家异构方式布局，市级密码服务中心对接量子城域网用户站的QKR设备，接入量子网络，为用户提供量子密钥分发服务，并配合密码模块或密码设备提供密码运算服务；省级密码服务中心为全省提供“普安”加密场景业务，同时作为市级密码服务中心异局址备用节点"/>
        <s v="新建用户面UPF、SPF网元各1套，与无线专业和业务平台专业联合搭建苏州低空经济技术试验网"/>
        <s v="重点聚焦AI终端管理APP、平台底座和AI泛终端专属能力三大模块建设：平台底座模块实施多协议适配、标准物模型构建，打造跨端场景联动引擎；AI泛终端专属能力模块重构AI眼镜、戒指、玩具三大软硬一体化产品；APP模块依托终端管理APP构建统一用户入口，全面贯通多模态交互、跨品类终端智控与个人数字资产空间"/>
        <s v="完成2026年DaaS数据设施苏州数据流通利用数联网软件开发项目，重点建设数联网区域功能节点和数联网区域流通利用平台，建设数据流通利用标准化基础能力，实现接入连接器的接入、控制和管理，建设服务全苏州的数据流通利用基础设施，推动数据互联互通。"/>
        <s v="DPI扩容新增2.4T链路监测能力（淮安1.2T，泰州、扬州、镇江各0.4T），新建20台XDR话单服务器、2台平台管理服务器等"/>
        <s v="建设境外来电监测、高风险手机用户被叫通话监测、IMS信令回注封堵与过白核验、声纹监测等手段，相关功能基于大语音业务运营管理平台现有能力进行扩容升级，构建针对手机用户被叫诈骗场景的专项监测与处置能力（本项目为软件开发部分）"/>
        <s v="建设境外来电监测、高风险手机用户被叫通话监测、IMS信令回注封堵与过白核验、声纹监测等手段，相关功能基于大语音业务运营管理平台现有能力进行扩容与升级（本项目为硬件部分），部署均衡型服务器7台、存储型服务器6台、推理型服务器7台"/>
        <s v="完成科创成果转化平台软件的开发工作，保障成果生命周期高效流转与价值释放，助力科创成果转化提效"/>
        <s v="完成省内行业网关软件升级改造，支持子端口白名单鉴权信息上报、CMPP协议MD5改成国密算法、支持对接集团先审后发平台、并支持用户号段拦截功能等4项功能优化升级"/>
        <s v="迭代升级“1+6+X”防护体系，构建弹性、智能通信网安全防护体系，全面应用人工智能技术支撑安全运营提质增效；对AI智能安全运营平台、SOC安全运营管理系统、4A网络安全管控平台、安全合规管理平台、安全域规则和策略管理平台、网络数据管控平台和欺骗式防御系统进行功能升级改造，并新增2台数据库审计产品和13套国产化数据库"/>
        <s v="完成涉诈互联网黑灰产分析预警平台软件开发，重点建设违规CDN业务、秒拨IP分析预警能力，接码平台违规注册互联网账号的风险防控能力，远控类诈骗识别阻断能力、隐蔽黑灰产平台安全检测能力以及黑灰产窝点线索挖掘等安全能力"/>
        <s v="为企业数据中心新建一套ORACLE一体机"/>
        <s v="基于省内智算X节点硬件资源搭建江苏云视讯会议系统，服务重点政企集团客户，作为总部云视讯平台的有效补充，解决总部云视频平台长期遗留问题，同时兼做总部云视讯平台的容灾备份"/>
      </sharedItems>
    </cacheField>
    <cacheField name="本周进展(20260814)" numFmtId="0">
      <sharedItems count="74">
        <s v="系统已割接上线"/>
        <s v="硬件实施工作已结束，本周开展江北机房服务器虚拟化软件部署"/>
        <s v="无锡节点已完成上线并承载业务"/>
        <s v="咪咕软件部署已完成，申请集团4A纳管中；华为软件部署中（总体完成率85%）"/>
        <s v="已完工，待割接上线交维。"/>
        <s v="基本完成建设内容，尚缺18台推理服务器，到货时间不确定"/>
        <s v="因4090D算力卡设备无法采购，项目拟取消"/>
        <s v="服务器已到货，待网络设备到货后完成组网联调"/>
        <s v="本周仪征数据204机房ROCE交换机48个光模块完成更换，锐捷交换机调试完成，仪征机房到江北数据中心的光路调试完成，科创301机房的4台PPU的电源线已补发到货。"/>
        <s v="服务器未完整到货，待服务器、网络设备到货后完成组网联调"/>
        <s v="待服务器、网络设备到货后完成组网联调"/>
        <s v="已完成割接上线交维"/>
        <s v="项目已竣工验收"/>
        <s v="本周继续17池硬件集成（总体完成率60%）"/>
        <s v="正在进行割接上线交维"/>
        <s v="已完成割接上线交维，终验准备中"/>
        <s v="项目实施中"/>
        <s v="正在进行业务割接"/>
        <s v="本周完成苏州和无锡配套ODF和尾纤安装布放"/>
        <s v="已上线、试运行"/>
        <s v="工程实施中"/>
        <s v="本周完成省本部南京CR和无锡BR节点割接上线交维"/>
        <s v="本周完成第一批网元第4次割接（总体完成率30%）"/>
        <s v="本周完成省本部割接上线交维"/>
        <s v="正在进行立项变更，设备安装调测中"/>
        <s v="进行施工费审计，组织进行工程遗留问题处理。"/>
        <s v="设计方案与业务部门确认中"/>
        <s v="设备安装调测中"/>
        <s v="设计批复完成"/>
        <s v="设计文本及图纸准备中"/>
        <s v="完成设计批复，开工准备中"/>
        <s v="已完成设计派工"/>
        <s v="已完成全部建设内容，即将竣工验收"/>
        <s v="完成科创节点主设备设计文件评审及设计批复；协调网络设备加电，开始进行本机测试工作。"/>
        <s v="已完成全部建设内容，准备进行交维工作"/>
        <s v="已完成割接上线交维，本周完成转资"/>
        <s v="组织完成江北节点紧急需求第一批209台集成方案评审；协调紧急需求第二批主设备到货，并组织相关工程实施。"/>
        <s v="跟踪软件系统运行情况。"/>
        <s v="基本完成硬件实施工作"/>
        <s v="软件部署中"/>
        <s v="协助网信安进行4A资源申请和部署工作。"/>
        <s v="协助规划部完成立项变更工作，并商产品运营中心确定初步实施方案。"/>
        <s v="协助规划部完成立项变更工作，同步协调设计院进行设计变更工作。"/>
        <s v="协调设计院进行设计变更流程，协调网络部确定报表服务器组网和工程实施方案。"/>
        <s v="进行实施工作"/>
        <s v="本周完成本调及DCN接入（总体完成率40%）"/>
        <s v="已完成硬件部署，完工准备中"/>
        <s v="拨测设备部署中"/>
        <s v="已完成全部建设内容，准备进行验收准备"/>
        <s v="本周加电完成，下周设备安装调试。"/>
        <s v="本周完成设计批复"/>
        <s v="已完成全部建设内容，正在进行4A接入"/>
        <s v="完成22台leaf扩容入网及控制器纳管，以及相关主机设备迁移割接。"/>
        <s v="本周完成硬件割接入网"/>
        <s v="本周开展设备安装调试"/>
        <s v="跟踪合同签署情况。"/>
        <s v="设计编制中"/>
        <s v="提交PMS设计会审"/>
        <s v="已经完成全部硬件工作，正在进行软件部署"/>
        <s v="准备设计批复"/>
        <s v="已完成一体化派工"/>
        <s v="硬件施工中"/>
        <s v="完成第二阶段300余台利旧服务器上架施工及加电测试，开始进行系统集成工作。"/>
        <s v="协调网络部协助补测安全测试工作。"/>
        <s v="协调网络部协助补测安全测试工作；组织进行"/>
        <s v="本周开展数据配置"/>
        <s v="正在进行项目查勘"/>
        <s v="等待设计框架生效后设计派工"/>
        <s v="规划部请购中"/>
        <s v="合同未签订"/>
        <s v="待业务网设计框架生效后进行设计派工"/>
        <s v="已完成软件开发，等待部署上线"/>
        <s v="已协调取消项目"/>
        <s v="政企需求变化，拟取消项目"/>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known User" refreshedDate="46254.365335648101" createdVersion="5" refreshedVersion="5" minRefreshableVersion="3" recordCount="233" xr:uid="{00000000-000A-0000-FFFF-FFFF01000000}">
  <cacheSource type="worksheet">
    <worksheetSource ref="A1:Q234" sheet="按类别区分 2026年8月"/>
  </cacheSource>
  <cacheFields count="17">
    <cacheField name="序号" numFmtId="0">
      <sharedItems containsMixedTypes="1" containsNumber="1" containsInteger="1" count="224">
        <e v="#VALUE!"/>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sharedItems>
    </cacheField>
    <cacheField name="专业类别" numFmtId="0">
      <sharedItems count="5">
        <s v="业务网"/>
        <s v="移动通信网-核心网"/>
        <s v="传输网"/>
        <s v="支撑网"/>
        <s v="移动通信网-无线网"/>
      </sharedItems>
    </cacheField>
    <cacheField name="项目编码" numFmtId="0">
      <sharedItems count="233">
        <s v="B25302310CA4001"/>
        <s v="B25302310CA701F"/>
        <s v="B25302310CA701Y"/>
        <s v="B26302310CA5002"/>
        <s v="B25302310CA4002"/>
        <s v="B25302310CA4003"/>
        <s v="B25302310CA4004"/>
        <s v="B25302310CA4005"/>
        <s v="B25302310CA4007"/>
        <s v="B25302310CA4008"/>
        <s v="B25302310CA700W"/>
        <s v="B25302310CA701B"/>
        <s v="B26302310CA4001"/>
        <s v="B26302310CA4002"/>
        <s v="B26302310CA4003"/>
        <s v="B26302310CA4005"/>
        <s v="B26302310CA4006"/>
        <s v="B26302310CA4007"/>
        <s v="B26302310CA4008"/>
        <s v="B26302310CA4009"/>
        <s v="B26302310CA400A"/>
        <s v="B26302310CA400B"/>
        <s v="B26302310CA400C"/>
        <s v="B26302310CA400D"/>
        <s v="B25302310CA6001"/>
        <s v="C25302325ABF001"/>
        <s v="C25302322ABF001"/>
        <s v="C25302321ABF001"/>
        <s v="B25302310ABE001"/>
        <s v="B25302310BBA001"/>
        <s v="B25302310BBA002"/>
        <s v="B25302310CB0003"/>
        <s v="C25302332ABF001"/>
        <s v="C25302329ABF001"/>
        <s v="C25302321ABF002"/>
        <s v="C25302326ABF001"/>
        <s v="C25302327ABF001"/>
        <s v="C25302323ABF001"/>
        <s v="C25302325ABF002"/>
        <s v="C25302322ABF002"/>
        <s v="C25302323BBA001"/>
        <s v="C25302326BBA001"/>
        <s v="C25302324BBA001"/>
        <s v="C25302331BBA001"/>
        <s v="C25302330BBA001"/>
        <s v="C25302332BBA001"/>
        <s v="C25302322BBA001"/>
        <s v="C25302329BBA001"/>
        <s v="C25302328BBA001"/>
        <s v="C25302321BBA001"/>
        <s v="C25302325BBA001"/>
        <s v="C25302327BBA001"/>
        <s v="C25302333BBA001"/>
        <s v="C25302332ABF002"/>
        <s v="C25302322ABF003"/>
        <s v="C25302321ABF003"/>
        <s v="C25302332ABF003"/>
        <s v="C25302325ABF003"/>
        <s v="C25302328ABF001"/>
        <s v="B25302310BBB009"/>
        <s v="B25302310BBB00E"/>
        <s v="B25302310ABA002"/>
        <s v="B25302310AB0002"/>
        <s v="B25302310AB0003"/>
        <s v="B25302310AB0004"/>
        <s v="B25302310AA3001"/>
        <s v="C25302331ABF001"/>
        <s v="B25302310BBD002"/>
        <s v="B25302310BBB00G"/>
        <s v="B25302310ABA00A"/>
        <s v="C25302324ABF001"/>
        <s v="C25302330ABF001"/>
        <s v="B25302310ABA006"/>
        <s v="B25302310CAC001"/>
        <s v="C25302323ABF002"/>
        <s v="B25302310BBA003"/>
        <s v="C25302321ABF004"/>
        <s v="B25302310ABA004"/>
        <s v="B25302310ABC001"/>
        <s v="B25302310CA7027"/>
        <s v="B25302310ABA005"/>
        <s v="B25302310ABB004"/>
        <s v="C25302332ABF004"/>
        <s v="T25032310ABA006"/>
        <s v="C25302330ABF002"/>
        <s v="C25302326ABF002"/>
        <s v="C25302329ABF002"/>
        <s v="B25302310CB0002"/>
        <s v="C25302328ABF002"/>
        <s v="C26302325ABF001"/>
        <s v="T26032310ABA001"/>
        <s v="B26302310BBA001"/>
        <s v="C26302326ABF001"/>
        <s v="C26302332ABF001"/>
        <s v="B26302310CA6002"/>
        <s v="B26302310CAC001"/>
        <s v="C26302326ABF002"/>
        <s v="B26302310BBA002"/>
        <s v="C26302324ABF001"/>
        <s v="C26302325ABF002"/>
        <s v="C26302324ABF002"/>
        <s v="B26302310ABA002"/>
        <s v="B26302310BBA004"/>
        <s v="B26302310ABB006"/>
        <s v="C26302325ABF003"/>
        <s v="C26302326ABF003"/>
        <s v="C26302323ABF001"/>
        <s v="C26302321ABF001"/>
        <s v="C26302328ABF001"/>
        <s v="C26302329ABF001"/>
        <s v="C26302323ABF002"/>
        <s v="B25302310AB0001"/>
        <s v="R25302310CA7001"/>
        <s v="B25302310CBL001"/>
        <s v="R25302310CBE002"/>
        <s v="R25302310CBJ001"/>
        <s v="R25302310CBJ002"/>
        <s v="B25302310CA3001"/>
        <s v="B25302310CB0001"/>
        <s v="B25302310CA6002"/>
        <s v="R25302310CA7002"/>
        <s v="B25302310CA6003"/>
        <s v="R25302310CA7003"/>
        <s v="B26302310CA700H"/>
        <s v="R25302310CBD001"/>
        <s v="B25302310CAH001"/>
        <s v="R25302310CBF001"/>
        <s v="R25302310CA7006"/>
        <s v="R25302310CA7004"/>
        <s v="R25302310CA7005"/>
        <s v="B25302310BBC003"/>
        <s v="B25302310CA7011"/>
        <s v="R25302310CA7007"/>
        <s v="B25302310CAB007"/>
        <s v="B26302310CA700G"/>
        <s v="R25302310CBK001"/>
        <s v="B25302310CBF00E"/>
        <s v="R25302310CBF002"/>
        <s v="B25302310CA6005"/>
        <s v="B25302310CBG001"/>
        <s v="R25302310CA700D"/>
        <s v="R25302310CBD002"/>
        <s v="B25302310CA701Q"/>
        <s v="R25302310CA700E"/>
        <s v="B26302310CA700F"/>
        <s v="B26302310CA700E"/>
        <s v="B25302310CAB008"/>
        <s v="R25302310CAB004"/>
        <s v="R25302310CBF003"/>
        <s v="R25302310CBF004"/>
        <s v="B25302310CA6007"/>
        <s v="R25302310CA700H"/>
        <s v="R25302310CA700G"/>
        <s v="B25302310CA701W"/>
        <s v="R25302310CBD003"/>
        <s v="B25302310CA6006"/>
        <s v="R25302310CBF005"/>
        <s v="B25302310CA701S"/>
        <s v="B25302310CAB00A"/>
        <s v="R25302310CBG001"/>
        <s v="R25302310CBD004"/>
        <s v="B25302310CBD002"/>
        <s v="R25302310CBF008"/>
        <s v="R25302310CAB005"/>
        <s v="R25302310CBF006"/>
        <s v="B25302310CAB00C"/>
        <s v="R25302310CAB006"/>
        <s v="B25302310CAB00D"/>
        <s v="R25302310CBD007"/>
        <s v="R25302310CA700K"/>
        <s v="R25302310CBD005"/>
        <s v="R25302310CA700R"/>
        <s v="R25302310CA700S"/>
        <s v="R25302310CA700T"/>
        <s v="R25302310CA700L"/>
        <s v="R25302310CA700P"/>
        <s v="R25302310CA700N"/>
        <s v="R25302310CA700M"/>
        <s v="R25302310CBD006"/>
        <s v="B25302310CBL002"/>
        <s v="R25302310CA700Q"/>
        <s v="B25302310CAG002"/>
        <s v="R25302310CA700U"/>
        <s v="B26302310000001"/>
        <s v="B25302310CB0004"/>
        <s v="B25302310CAH007"/>
        <s v="B25302310CBD003"/>
        <s v="R25302310CA700Y"/>
        <s v="R25302310CA700X"/>
        <s v="R25302310CBF009"/>
        <s v="R25302310CBF00A"/>
        <s v="R25302310CA700V"/>
        <s v="R25302310CAB00A"/>
        <s v="R25302310CAB009"/>
        <s v="R25302310CA700W"/>
        <s v="R25302310CBF007"/>
        <s v="R25302310CAB007"/>
        <s v="R25302310CAB008"/>
        <s v="R25302310CAB00B"/>
        <s v="B25302310CAB009"/>
        <s v="B25302310CAB00B"/>
        <s v="R25302310CA700Z"/>
        <s v="B25302310CA6008"/>
        <s v="B25302310CBL003"/>
        <s v="R25302310CBD008"/>
        <s v="B25302310CAB00U"/>
        <s v="B26302310CA6001"/>
        <s v="B25302310CBD001"/>
        <s v="B26302310CA6003"/>
        <s v="B25302310CAB00E"/>
        <s v="B25302310CA701R"/>
        <s v="B26302310CAB001"/>
        <s v="R26302310CBJ001"/>
        <s v="B26302310BA4004"/>
        <s v="R26302310CBF001"/>
        <s v="B25302310CA6004"/>
        <s v="B25302310CAB00T"/>
        <s v="B26302310CAB002"/>
        <s v="B26302310CAB004"/>
        <s v="B26302310CAI001"/>
        <s v="B26302310ABA001"/>
        <s v="R26302310CA9001"/>
        <s v="R26302310CA9002"/>
        <s v="B26302310CA6007"/>
        <s v="R26302310CAB002"/>
        <s v="B26302310CAB005"/>
        <s v="R26302310CBG001"/>
        <s v="B26302310CAG00X"/>
        <s v="B26302310CBL001"/>
        <s v="R25302310CAB001"/>
        <s v="B26302310CAF001"/>
        <s v="B25302310CBF00F"/>
        <s v="B26302310CA7001"/>
      </sharedItems>
    </cacheField>
    <cacheField name="项目名称" numFmtId="0">
      <sharedItems count="233">
        <s v="2025年宿迁智算X节点工程项目"/>
        <s v="视联网X节点资源池工程项目"/>
        <s v="2025年家庭云电脑业务平台建设工程项目"/>
        <s v="2026年B2B内容分发网络建设项目"/>
        <s v="2025年盐城智算X节点工程项目"/>
        <s v="2025年泰州智算X节点工程项目"/>
        <s v="2025年南通智算X节点工程项目"/>
        <s v="2025年扬州智算X节点工程项目"/>
        <s v="2025年南京智算X节点工程建设项目"/>
        <s v="2025年镇江智算X节点工程项目"/>
        <s v="新型产品及平台支撑资源省中心智算X节点工程"/>
        <s v="2025年个人算力产品X节点资源项目一阶段工程"/>
        <s v="2026年宿迁智算X节点工程项目"/>
        <s v="2026年淮安智算X节点工程项目"/>
        <s v="2026年盐城智算X节点工程项目"/>
        <s v="2026年南京智算X节点工程项目"/>
        <s v="2026年省中心智算X节点工程"/>
        <s v="2026年苏州智算X节点工程"/>
        <s v="2026年南京智算X节点二阶段工程"/>
        <s v="2026年无锡智算X节点工程项目"/>
        <s v="2026年盐城智算X节点二阶段工程项目"/>
        <s v="2026年南通智算X节点工程项目"/>
        <s v="2026年苏州智算X节点二阶段工程"/>
        <s v="2026年徐州智算X节点工程项目"/>
        <s v="2025年CMNet流量监控平台一期工程"/>
        <s v="2025年苏州共享UPF扩容工程"/>
        <s v="2025年无锡共享UPF扩容工程"/>
        <s v="2025年南京第一批5G垂直行业专网项目"/>
        <s v="中国移动集中网络云资源池七期工程_江苏公司"/>
        <s v="2025年虎踞路59号业务路由器搬迁工程"/>
        <s v="2025年iBNG项目"/>
        <s v="2025年业务支撑网老旧设备替换工程"/>
        <s v="2025年泰州梅兰新材料5G专网项目"/>
        <s v="2025年盐城第一批5G垂直行业专网项目"/>
        <s v="2025年南京南钢智慧铁水运输5G专网项目"/>
        <s v="2025年南通第一批5G垂直行业专网项目"/>
        <s v="2025年连云港第一批5G垂直行业专网项目"/>
        <s v="2025年徐州第一批5G垂直行业专网项目"/>
        <s v="2025年苏州新建ToB共享UPF项目"/>
        <s v="2025年无锡新建ToB共享UPF项目"/>
        <s v="2025年徐州地区城域数据网一期工程"/>
        <s v="2025年南通地区城域数据网一期工程"/>
        <s v="2025年常州地区城域数据网一期工程"/>
        <s v="2025年镇江地区城域数据网一期工程"/>
        <s v="2025年扬州地区城域数据网一期工程"/>
        <s v="2025年泰州地区城域数据网一期工程"/>
        <s v="2025年无锡地区城域数据网一期工程"/>
        <s v="2025年盐城地区城域数据网一期工程"/>
        <s v="2025年淮安地区城域数据网一期工程"/>
        <s v="2025年南京地区城域数据网一期工程"/>
        <s v="2025年苏州地区城域数据网一期工程"/>
        <s v="2025年连云港地区城域数据网一期工程"/>
        <s v="2025年宿迁地区城域数据网一期工程"/>
        <s v="2025年泰州第一批5G垂直行业专网项目"/>
        <s v="2025年无锡第一批5G垂直行业专网项目"/>
        <s v="2025年南京第二批5G垂直行业专网项目"/>
        <s v="2025年泰州恒力5G专网项目"/>
        <s v="2025年苏州第一批5G垂直行业专网项目"/>
        <s v="2025年淮安市第三人民医院5G专网项目"/>
        <s v="中国移动CMNet骨干网十五期扩容工程第一阶段工程_江苏公司"/>
        <s v="中国移动云专网骨干网优化工程第一阶段工程_江苏公司"/>
        <s v="中国移动2025-2026年核心网数字孪生体系新技术试验网工程_江苏公司"/>
        <s v="2025年2G端局缩量整合（核心网部分）项目"/>
        <s v="2025年VoNR+网络新技术试点（新通话四期试点）配套工程"/>
        <s v="2025年固网IMS核心网I-SBC扩容与替换工程（第一批）"/>
        <s v="2025年2G端局缩量整合（无线网部分）项目"/>
        <s v="2025年镇江ToB共享UPF扩容工程"/>
        <s v="中国移动IP专用承载网骨干网优化工程第一阶段工程_江苏公司"/>
        <s v="中国移动互联网国内网间出口九期扩容工程_江苏公司"/>
        <s v="中国移动物联网核心网九期工程_江苏节点"/>
        <s v="2025年常州第一批5G垂直行业专网项目"/>
        <s v="2025年扬州第一批5G垂直行业专网项目"/>
        <s v="中国移动2.6GHz广电专用核心网三期工程_江苏公司"/>
        <s v="2025年IDC网络改造工程项目"/>
        <s v="2025年南京第三批5G垂直行业专网项目"/>
        <s v="2025年城域数据网核心路由器扩容工程"/>
        <s v="2025年徐州第二批5G垂直行业专网项目"/>
        <s v="中国移动2025-2026年云化4G5G融合核心网项目_江苏公司"/>
        <s v="中国移动2025-2026年云化信令网工程_江苏公司"/>
        <s v="DNS十三期扩容硬件改造项目"/>
        <s v="中国移动2025-2026年4G5G融合核心网智能化新技术试验网项目_江苏公司"/>
        <s v="中国移动2025-2026年云化语音网络工程_江苏节点"/>
        <s v="2025年泰州ToB共享UPF扩容工程"/>
        <s v="中国移动5G应急预警信息发布系统工程_江苏公司"/>
        <s v="2025年扬州ToB共享UPF扩容工程"/>
        <s v="2025年南通ToB共享UPF扩容工程"/>
        <s v="2025年盐城ToB共享UPF扩容工程"/>
        <s v="2025年IT云虎踞路59号机房搬迁工程"/>
        <s v="2025年淮安ToB共享UPF扩容工程"/>
        <s v="2026年苏州第一批5G垂直行业专网项目"/>
        <s v="中国移动江苏公司应急场景5G核心网异网漫游工程"/>
        <s v="中国移动江苏公司2026年城域数据网iBNG试点工程"/>
        <s v="2026年南通招商局重工5G专网项目"/>
        <s v="2026年泰州第一批5G垂直行业专网项目"/>
        <s v="2026年IDC网络改造工程（一阶段）统一DPI扩容项目"/>
        <s v="2026年IDC网络改造工程（一阶段）带宽扩容项目"/>
        <s v="2026年南通第一批5G垂直行业专网项目"/>
        <s v="2026年城域数据网（CMNet)一阶段工程"/>
        <s v="2026年常州第一批5G垂直行业专网项目"/>
        <s v="2026年苏州第二批5G垂直行业专网项目"/>
        <s v="2026年常州新建ToB共享UPF工程"/>
        <s v="中国移动江苏公司人家互联试点配套工程"/>
        <s v="2026年地市分公司城域数据网一期工程"/>
        <s v="中国移动2026年虚拟群组话音网（V网）扩容项目_江苏公司"/>
        <s v="2026年苏州ToB共享UPF扩容工程"/>
        <s v="2026年南通ToB共享UPF扩容工程"/>
        <s v="2026年徐州ToB共享UPF扩容工程"/>
        <s v="2026年南京ToB共享UPF扩容工程"/>
        <s v="2026年淮安ToB共享UPF扩容工程"/>
        <s v="2026年盐城ToB共享UPF扩容工程"/>
        <s v="2026年徐州第一批5G垂直行业专网项目"/>
        <s v="视频语音专线汇聚网络建设工程"/>
        <s v="DNS十二期软件开发项目"/>
        <s v="通信网络安全四期扩容项目"/>
        <s v="2024-2025年能力中台开发项目"/>
        <s v="2024-2025年企业数据中心开发项目"/>
        <s v="2024-2025年企业数据中心对外数据资源开发项目"/>
        <s v="2025年算力集群服务项目"/>
        <s v="2025年IT云利旧服务器搬迁工程"/>
        <s v="苏州固网IMS诈骗电话防范系统试点项目"/>
        <s v="周边好生活平台一期软件开发项目"/>
        <s v="基于统一DPI的网络安全数据底座试点项目"/>
        <s v="无锡车路云一体化试点研发环境项目"/>
        <s v="2026年业务支撑系统ZZKK替换科创节点工程"/>
        <s v="2025年互联网业务探针宽带管家系统软件开发项目"/>
        <s v="高可靠网络安全能力示范二期工程"/>
        <s v="2025年业务支撑网系统开发一期项目"/>
        <s v="2025年智慧家庭服务管理平台软件开发项目"/>
        <s v="2025年AI数智助理个人客户端软件开发项目"/>
        <s v="2025年互联网电视能力提升平台软件开发项目"/>
        <s v="2025年DCN扩容项目"/>
        <s v="2025年异常流量及流量流向分析平台扩容项目"/>
        <s v="2025年产品全生命周期管理与支撑平台软件开发项目"/>
        <s v="互联网骨干网抗DDoS攻击系统六期工程_江苏公司"/>
        <s v="2026年业务支撑系统ZZKK替换江北节点工程"/>
        <s v="2025年业务支撑运营管理平台开发项目"/>
        <s v="上网日志集中存储平台六期工程_江苏公司"/>
        <s v="2025年电子渠道运营支撑开发一阶段项目"/>
        <s v="2025年信令监测系统采集平台改造工程"/>
        <s v="办公楼宇数字建维孪生平台二期扩容工程"/>
        <s v="2025年互联网电视业务管理平台（HDC）及视联网业务融合运营管理平台一阶段软件开发项目"/>
        <s v="2025年云资源池运营质量分析系统开发项目"/>
        <s v="2025年业务支撑系统老旧设备替换工程"/>
        <s v="2025年大语音业务运营管理平台建设项目（软件部分）"/>
        <s v="2026年业务支撑系统ZZKK替换江浦节点工程"/>
        <s v="2026年业务支撑系统ZZKK替换软件节点工程"/>
        <s v="2025年涉诈域名处置能力建设硬件改造项目"/>
        <s v="2025年涉诈域名处置能力建设软件开发项目"/>
        <s v="2025年业务支撑网系统开发二阶段项目"/>
        <s v="2025年电子渠道软件开发项目"/>
        <s v="2025年中国移动互联网国内网间出口九期江苏节点配套网间流控项目"/>
        <s v="2025年智慧健康服务二级平台软件开发项目"/>
        <s v="2025年数字空间业务平台软件开发项目"/>
        <s v="2025年异常流量及流量流向分析平台二期扩容项目"/>
        <s v="2025年智慧机房运营管理系统开发项目"/>
        <s v="2025年信令监测系统语音采集改造工程"/>
        <s v="2025年数智助手及智宇平台开发项目"/>
        <s v="2025年大语音业务运营管理平台建设项目（硬件部分）"/>
        <s v="2025年IT域商用密码应用项目"/>
        <s v="2025年管理信息系统软件开发项目"/>
        <s v="2025年网管系统运营支撑软件开发一阶段项目"/>
        <s v="2025年自动拨测系统扩容项目"/>
        <s v="2025年和力云能力开放平台日常优化软件开发项目"/>
        <s v="2025年移动网流量安全分析系统软件开发项目"/>
        <s v="2025年电子渠道运营支撑软件开发二阶段项目"/>
        <s v="2025年城域网扩容互联网信息安全管理系统同步改造项目"/>
        <s v="2025年防电信网络诈骗系统反诈综合管理软件开发项目"/>
        <s v="2025年互联网暴露面风险管控扩容项目"/>
        <s v="2025年网管系统软件开发项目"/>
        <s v="2025年5G新通话业务运营管理平台软件开发项目"/>
        <s v="2025年集客接入侧设备统一管理平台软件开发项目"/>
        <s v="2025年权益中心产品支撑平台日常优化软件开发项目"/>
        <s v="2025年权益中心用户服务平台日常优化软件开发项目"/>
        <s v="2025年通信+金融业务平台日常优化软件开发项目"/>
        <s v="2025年家庭云电脑运营管理平台日常优化软件项目"/>
        <s v="2025年视联网业务融合运营管理平台日常优化二阶段软件开发项目"/>
        <s v="2025年双屏SDK平台日常优化软件开发项目"/>
        <s v="2025年省级数字家庭管理平台（业务运营部分）日常优化软件开发项目"/>
        <s v="2025年玄武智慧运维平台软件开发项目"/>
        <s v="2025年营业终端安全管控系统项目"/>
        <s v="2025年互联网电视业务管理平台（HDC）日常优化二阶段软件开发项目"/>
        <s v="集中化彩铃系统四期工程_江苏公司"/>
        <s v="DNS十三期扩容软件开发项目"/>
        <s v="中国移动江苏公司2026年无线AI智能融合板数据分析处理单元项目"/>
        <s v="2025年六合机房老旧网络设备替换工程"/>
        <s v="通信网商用密码管理系统二期工程_江苏公司"/>
        <s v="2025年网管网全流量分析系统扩容项目"/>
        <s v="2025年省专协同平台日常优化软件开发项目"/>
        <s v="2025年12580平台日常优化软件开发项目"/>
        <s v="2025年数智云原生软件开发项目"/>
        <s v="2025年业务支撑网系统软件开发三阶段项目"/>
        <s v="2025年互联网电视运营能力提升平台日常优化软件开发项目"/>
        <s v="2025年资产安全管理平台软件开发扩容项目"/>
        <s v="2025年网络安全态势感知平台软件开发扩容项目"/>
        <s v="2025年互联网电视智慧运营分析平台项目日常优化软件开发项目"/>
        <s v="2025年支付金融能力平台日常优化软件开发项目"/>
        <s v="2025年互联网恶意流量防护系统软件开发扩容项目"/>
        <s v="2025年僵木蠕分析系统软件开发扩容项目"/>
        <s v="2025年行业端口智能管控系统建设项目"/>
        <s v="2025年跨境数据风险分析项目"/>
        <s v="2025年网络安全漏洞管理平台扩容项目"/>
        <s v="2025年12580语音平台软件开发项目"/>
        <s v="2025年信令监测系统采集扩容工程"/>
        <s v="IT网络安全五期扩容项目"/>
        <s v="2025年网管系统运营支撑软件开发二阶段项目"/>
        <s v="IMS诈骗电话防范系统六期工程_江苏公司"/>
        <s v="2026年信令监测系统码流回传改造工程"/>
        <s v="2025年家集客支撑综合调度中心配套系统建设项目"/>
        <s v="2026年信令监测系统服务器搬迁一阶段工程"/>
        <s v="垃圾短信治理省侧系统十期扩容项目"/>
        <s v="2025年信令监测系统合成层服务器利旧工程"/>
        <s v="2026年防火墙替换工程"/>
        <s v="2026年DaaS数据设施及应用开发项目"/>
        <s v="中国移动江苏公司传输小型化SPN设备管控一体OMC工程"/>
        <s v="2026年电子渠道支撑软件开发一阶段项目"/>
        <s v="2025年上网日志系统服务器搬迁工程"/>
        <s v="高频骚扰电话防范系统四期工程_江苏公司"/>
        <s v="网间虚假主叫监控系统新功能改造项目"/>
        <s v="2026年城域网扩容互联网信息安全管理系统同步改造一阶段项目"/>
        <s v="2026年江苏量子密码服务中心项目"/>
        <s v="中国移动江苏公司苏州低空经济技术试验网核心网工程"/>
        <s v="2026年AI终端管理平台软件开发项目"/>
        <s v="2026年DaaS数据设施苏州数据流通利用数联网软件开发项目"/>
        <s v="2026年CMNet流量监控平台一期工程"/>
        <s v="2026年境外来电及被叫反诈监测能力建设项目（软件开发）"/>
        <s v="2026年境外来电及被叫反诈监测能力建设项目（硬件部分）"/>
        <s v="2026年科创成果转化平台软件开发项目"/>
        <s v="2026年江苏行业短信网关升级改造项目"/>
        <s v="通信网络安全五期扩容项目"/>
        <s v="2025年涉诈互联网黑灰产分析预警平台软件开发项目"/>
        <s v="2026年连云港智算X节点工程项目"/>
        <s v="2025年Oracle Exadata一体机新建项目"/>
        <s v="2025年江苏云视讯会议系统建设项目"/>
      </sharedItems>
    </cacheField>
    <cacheField name="立项批复日期" numFmtId="0">
      <sharedItems containsSemiMixedTypes="0" containsNonDate="0" containsDate="1" containsString="0" minDate="2025-01-09T00:00:00" maxDate="2026-08-04T00:00:00" count="121">
        <d v="2025-09-09T00:00:00"/>
        <d v="2025-08-04T00:00:00"/>
        <d v="2025-10-22T00:00:00"/>
        <d v="2026-01-22T00:00:00"/>
        <d v="2025-09-14T00:00:00"/>
        <d v="2025-10-28T00:00:00"/>
        <d v="2025-12-03T00:00:00"/>
        <d v="2025-12-25T00:00:00"/>
        <d v="2025-03-31T00:00:00"/>
        <d v="2025-06-17T00:00:00"/>
        <d v="2026-02-26T00:00:00"/>
        <d v="2026-04-28T00:00:00"/>
        <d v="2026-04-29T00:00:00"/>
        <d v="2026-05-09T00:00:00"/>
        <d v="2026-06-05T00:00:00"/>
        <d v="2026-06-16T00:00:00"/>
        <d v="2026-06-29T00:00:00"/>
        <d v="2026-06-26T00:00:00"/>
        <d v="2025-01-26T00:00:00"/>
        <d v="2025-02-05T00:00:00"/>
        <d v="2025-11-13T00:00:00"/>
        <d v="2025-02-28T00:00:00"/>
        <d v="2025-03-27T00:00:00"/>
        <d v="2025-04-14T00:00:00"/>
        <d v="2025-05-26T00:00:00"/>
        <d v="2025-05-27T00:00:00"/>
        <d v="2025-06-18T00:00:00"/>
        <d v="2025-06-23T00:00:00"/>
        <d v="2025-07-21T00:00:00"/>
        <d v="2025-08-14T00:00:00"/>
        <d v="2025-08-18T00:00:00"/>
        <d v="2025-08-20T00:00:00"/>
        <d v="2025-08-28T00:00:00"/>
        <d v="2025-09-04T00:00:00"/>
        <d v="2025-09-11T00:00:00"/>
        <d v="2025-09-17T00:00:00"/>
        <d v="2025-09-23T00:00:00"/>
        <d v="2025-10-13T00:00:00"/>
        <d v="2025-11-14T00:00:00"/>
        <d v="2025-10-30T00:00:00"/>
        <d v="2025-10-31T00:00:00"/>
        <d v="2025-11-04T00:00:00"/>
        <d v="2025-11-11T00:00:00"/>
        <d v="2025-11-12T00:00:00"/>
        <d v="2025-09-28T00:00:00"/>
        <d v="2025-12-05T00:00:00"/>
        <d v="2025-11-18T00:00:00"/>
        <d v="2025-12-02T00:00:00"/>
        <d v="2025-02-10T00:00:00"/>
        <d v="2025-12-10T00:00:00"/>
        <d v="2025-12-24T00:00:00"/>
        <d v="2026-02-04T00:00:00"/>
        <d v="2026-02-24T00:00:00"/>
        <d v="2026-03-06T00:00:00"/>
        <d v="2026-03-10T00:00:00"/>
        <d v="2026-04-22T00:00:00"/>
        <d v="2026-04-24T00:00:00"/>
        <d v="2026-04-26T00:00:00"/>
        <d v="2026-05-20T00:00:00"/>
        <d v="2026-05-26T00:00:00"/>
        <d v="2026-06-30T00:00:00"/>
        <d v="2026-07-01T00:00:00"/>
        <d v="2026-07-03T00:00:00"/>
        <d v="2026-07-13T00:00:00"/>
        <d v="2025-01-09T00:00:00"/>
        <d v="2025-01-16T00:00:00"/>
        <d v="2025-01-27T00:00:00"/>
        <d v="2025-03-12T00:00:00"/>
        <d v="2026-02-12T00:00:00"/>
        <d v="2025-05-14T00:00:00"/>
        <d v="2025-05-16T00:00:00"/>
        <d v="2025-05-18T00:00:00"/>
        <d v="2025-05-20T00:00:00"/>
        <d v="2025-05-23T00:00:00"/>
        <d v="2025-06-28T00:00:00"/>
        <d v="2025-07-18T00:00:00"/>
        <d v="2025-07-28T00:00:00"/>
        <d v="2025-07-29T00:00:00"/>
        <d v="2025-08-06T00:00:00"/>
        <d v="2025-08-11T00:00:00"/>
        <d v="2025-08-15T00:00:00"/>
        <d v="2026-02-14T00:00:00"/>
        <d v="2026-02-09T00:00:00"/>
        <d v="2025-08-21T00:00:00"/>
        <d v="2025-09-02T00:00:00"/>
        <d v="2025-09-15T00:00:00"/>
        <d v="2025-10-10T00:00:00"/>
        <d v="2025-09-19T00:00:00"/>
        <d v="2025-10-20T00:00:00"/>
        <d v="2025-10-21T00:00:00"/>
        <d v="2025-12-01T00:00:00"/>
        <d v="2025-11-05T00:00:00"/>
        <d v="2025-11-07T00:00:00"/>
        <d v="2025-11-10T00:00:00"/>
        <d v="2025-11-19T00:00:00"/>
        <d v="2025-11-24T00:00:00"/>
        <d v="2025-11-27T00:00:00"/>
        <d v="2025-12-04T00:00:00"/>
        <d v="2025-12-08T00:00:00"/>
        <d v="2025-12-11T00:00:00"/>
        <d v="2025-12-29T00:00:00"/>
        <d v="2025-12-30T00:00:00"/>
        <d v="2026-01-26T00:00:00"/>
        <d v="2026-02-02T00:00:00"/>
        <d v="2025-04-28T00:00:00"/>
        <d v="2026-04-20T00:00:00"/>
        <d v="2026-02-03T00:00:00"/>
        <d v="2026-03-09T00:00:00"/>
        <d v="2026-04-10T00:00:00"/>
        <d v="2026-04-21T00:00:00"/>
        <d v="2026-04-23T00:00:00"/>
        <d v="2026-05-08T00:00:00"/>
        <d v="2026-05-19T00:00:00"/>
        <d v="2026-05-29T00:00:00"/>
        <d v="2026-06-09T00:00:00"/>
        <d v="2026-06-18T00:00:00"/>
        <d v="2026-07-06T00:00:00"/>
        <d v="2026-07-23T00:00:00"/>
        <d v="2026-08-04T00:00:00"/>
        <d v="2026-04-30T00:00:00"/>
        <d v="2025-09-03T00:00:00"/>
      </sharedItems>
    </cacheField>
    <cacheField name="分类" numFmtId="0">
      <sharedItems count="4">
        <s v="收入相关"/>
        <s v="拟取消"/>
        <s v="基础能力"/>
        <s v="支撑后端"/>
      </sharedItems>
    </cacheField>
    <cacheField name="工程责任人" numFmtId="0">
      <sharedItems count="7">
        <s v="孟振洋"/>
        <s v="刘栋"/>
        <s v="谭旭辉"/>
        <s v="金晓宏"/>
        <s v="钱镇"/>
        <s v="郑彤"/>
        <s v="丁峰"/>
      </sharedItems>
    </cacheField>
    <cacheField name="立项金额（万元）" numFmtId="180">
      <sharedItems containsMixedTypes="1" containsNumber="1" count="208">
        <n v="320"/>
        <n v="23827"/>
        <n v="3632"/>
        <n v="10100"/>
        <n v="786"/>
        <n v="689"/>
        <n v="421"/>
        <n v="191"/>
        <n v="1521"/>
        <n v="190"/>
        <n v="7711"/>
        <n v="364"/>
        <n v="720"/>
        <n v="433"/>
        <n v="966"/>
        <n v="4931"/>
        <n v="5426"/>
        <n v="3379"/>
        <n v="1526"/>
        <n v="830"/>
        <n v="428"/>
        <n v="716"/>
        <n v="2587"/>
        <n v="663"/>
        <n v="2119"/>
        <n v="155"/>
        <n v="107"/>
        <n v="77.87"/>
        <n v="12896"/>
        <n v="30"/>
        <n v="1244.5999999999999"/>
        <n v="7530"/>
        <n v="29"/>
        <n v="177"/>
        <n v="68.349999999999994"/>
        <n v="209"/>
        <n v="95"/>
        <n v="82.1"/>
        <n v="482"/>
        <n v="314"/>
        <n v="297"/>
        <n v="405"/>
        <n v="207"/>
        <n v="165"/>
        <n v="295"/>
        <n v="168"/>
        <n v="312"/>
        <n v="521"/>
        <n v="106.5"/>
        <n v="160"/>
        <n v="58"/>
        <n v="132"/>
        <n v="175"/>
        <n v="40.1"/>
        <n v="19247"/>
        <n v="457"/>
        <n v="615"/>
        <n v="607.79999999999995"/>
        <n v="45"/>
        <n v="1990.25"/>
        <n v="493.58"/>
        <n v="97.92"/>
        <n v="6962"/>
        <n v="332"/>
        <n v="6066"/>
        <n v="129"/>
        <n v="126"/>
        <n v="3044"/>
        <n v="789"/>
        <n v="4790"/>
        <n v="29892"/>
        <s v="_x000a_1668"/>
        <n v="447"/>
        <n v="4899"/>
        <n v="6428"/>
        <n v="40.39"/>
        <n v="518"/>
        <n v="42.06"/>
        <n v="45.35"/>
        <n v="112"/>
        <n v="71.41"/>
        <n v="72"/>
        <n v="1910"/>
        <n v="55.47"/>
        <n v="1315"/>
        <n v="2443"/>
        <n v="213.84"/>
        <n v="1721"/>
        <n v="111"/>
        <n v="545.70000000000005"/>
        <n v="135.52000000000001"/>
        <n v="27"/>
        <n v="2120"/>
        <n v="594"/>
        <n v="150"/>
        <n v="154.30000000000001"/>
        <n v="544"/>
        <n v="120.71"/>
        <n v="141.80000000000001"/>
        <n v="70"/>
        <n v="58.1"/>
        <n v="435"/>
        <n v="932"/>
        <n v="4572"/>
        <n v="3237"/>
        <n v="624"/>
        <n v="10746"/>
        <n v="369"/>
        <n v="38"/>
        <n v="1640"/>
        <n v="3432"/>
        <n v="17275"/>
        <n v="65"/>
        <n v="535"/>
        <n v="4850"/>
        <n v="395"/>
        <n v="346"/>
        <n v="402"/>
        <n v="1195"/>
        <n v="315"/>
        <n v="249"/>
        <n v="67"/>
        <n v="14565"/>
        <n v="821"/>
        <n v="56.8"/>
        <n v="634"/>
        <n v="555"/>
        <n v="370"/>
        <n v="212"/>
        <n v="86"/>
        <n v="9939"/>
        <n v="2853"/>
        <n v="1089"/>
        <n v="130"/>
        <n v="5526"/>
        <n v="382"/>
        <n v="60"/>
        <n v="214"/>
        <n v="883"/>
        <n v="390"/>
        <n v="4"/>
        <n v="1419"/>
        <n v="630"/>
        <n v="287"/>
        <n v="1821"/>
        <n v="121"/>
        <n v="148"/>
        <n v="406"/>
        <n v="410"/>
        <n v="1074"/>
        <n v="205"/>
        <n v="399"/>
        <n v="97"/>
        <n v="5592"/>
        <n v="185"/>
        <n v="218"/>
        <n v="164"/>
        <n v="879"/>
        <n v="244"/>
        <n v="186"/>
        <n v="135"/>
        <n v="470"/>
        <n v="296"/>
        <n v="293"/>
        <n v="400"/>
        <n v="289"/>
        <n v="25"/>
        <n v="234"/>
        <n v="350"/>
        <n v="324"/>
        <n v="6291"/>
        <n v="9354"/>
        <n v="368"/>
        <n v="105"/>
        <n v="290"/>
        <n v="17"/>
        <n v="51"/>
        <n v="140"/>
        <n v="266"/>
        <n v="203"/>
        <n v="243"/>
        <n v="526"/>
        <n v="784"/>
        <n v="619"/>
        <n v="124"/>
        <n v="216"/>
        <n v="176"/>
        <n v="174"/>
        <n v="98"/>
        <n v="2854"/>
        <n v="107.5"/>
        <n v="610"/>
        <n v="12"/>
        <n v="90"/>
        <n v="559"/>
        <n v="529"/>
        <n v="9"/>
        <n v="1509"/>
        <n v="448"/>
        <n v="690"/>
        <n v="427"/>
        <n v="562"/>
        <n v="265"/>
        <n v="840"/>
        <n v="202"/>
        <n v="450"/>
        <n v="533"/>
        <n v="239"/>
      </sharedItems>
    </cacheField>
    <cacheField name="项目阶段" numFmtId="0">
      <sharedItems count="4">
        <s v="工程验收阶段"/>
        <s v="项目实施阶段"/>
        <s v="勘察设计阶段"/>
        <s v="终验归档阶段"/>
      </sharedItems>
    </cacheField>
    <cacheField name="建设内容" numFmtId="0">
      <sharedItems count="212" longText="1">
        <s v="建设4台推理服务器及配套网络设备"/>
        <s v="建设1530台通算服务器、28台推理服务器、分布式存储、配套网络设备、安全设备、视频类对象分布式节点软件、云资源池管理、安全、运维管理等软件能力"/>
        <s v="在省内南京、无锡两个节点完成家庭云电脑业务平台建设，增加人工智能通用计算设备（XR渲染设备）87台、存储服务器99台、管理节点服务器14台、算网底座服务器10台和SCG服务器6台，以及网络和安全设备及软件系统一套"/>
        <s v="在省内南京、苏州、无锡三个节点完成B2B内容分发网络的扩容建设，完成省内CDN系统华为平面的点播节点586G容量及内容中心1000G容量、自研节点点播及直播2774G容量的扩容，同时完成软件业务功能升级，满足集团CDN流量从华为、中兴平面回迁至自研平台的要求"/>
        <s v="建设10台推理服务器及配套网络设备"/>
        <s v="建设8台推理服务器及配套网络设备"/>
        <s v="建设4台推理服务器"/>
        <s v="建设23台智算推理服务器及配套网络设备"/>
        <s v="建设3台推理服务器"/>
        <s v="建设399台通算服务器、40台推理服务器、配套网络设备及相关管理软件"/>
        <s v="新建算力服务器10台、算力卡80卡，并按需建设配套的网络设备"/>
        <s v="建设3台推理服务器及配套网络设备。"/>
        <s v="建设10台推理服务器及配套网络设备。"/>
        <s v="建设26台推理服务器、10台通算服务器及配套网络设备"/>
        <s v="建设20台推理服务器、1套分布式存储、资源管理软件及配套网络设备等"/>
        <s v="建设19台推理服务器及配套网络设备"/>
        <s v="建设6台推理服务器"/>
        <s v="建设8台推理服务器"/>
        <s v="建设7台推理服务器及配套网络设备"/>
        <s v="建设5台推理服务器及配套网络设备"/>
        <s v="扩容一批DPI设备性能板卡覆盖3.1T链路，针对性能不足处理不足节点裂点覆盖8.9T，新增5.6T链路监测能力，新建95台XDR话单服务器、15台平台管理服务器等"/>
        <s v="对苏州现网2台共享UPF进行软硬件扩容，扩容容量30万PDU会话"/>
        <s v="对无锡现网2台共享UPF进行软硬件扩容，扩容容量20万PDU会话"/>
        <s v="采用大立项精方案模式，共计建设2套专用型边缘UPF设备，后期根据实际项目进展进行精方案的编制、审批和建设"/>
        <s v="网络云七期共新建23个资源池、扩容41个资源池，建设总规模约1.11万台服务器，其中新增计算服务器0.87万台、存储服务器41.9PB（约0.16万台），利旧计算服务器0.07万台、存储服务器0.01万台3PB，同时新增组网、安全等设备"/>
        <s v="在虎踞路3楼机房新建1台业务接入路由器替换原2楼设备，完成业务割接后原设备板卡利旧至江浦机房业务路由器扩容"/>
        <s v="建设iBNG管控平台一套；全省26台BRAS扩容70块SA板卡，扩容26套CGN license"/>
        <s v="完成业务支撑网B域、O域21个应用系统老旧设备替换和地市统一支撑平台等系统数据库服务器的替换，建设服务器726台、存储4台及其配套网络安全设备和虚拟化软件"/>
        <s v="在泰州梅兰新材料有限公司数据中心建设1套专用型边缘UPF设备"/>
        <s v="采用大立项精方案模式，共计建设5套专用型边缘UPF设备，后期根据实际项目进展进行精方案的编制、审批和建设"/>
        <s v="在南京南钢智慧中心A座1楼机房建设1套专用型边缘UPF设备"/>
        <s v="采用大立项精方案模式，共计建设6套专用型边缘UPF设备，后期根据实际项目进展进行精方案的编制、审批和建设"/>
        <s v="在苏州新建2台ToB共享UPF及配套数通等设备，共计新增容量40万PDU会话"/>
        <s v="在无锡惠山8层机房、太科园3层机房各新建1套ToB共享UPF（UDG），共计新增容量30万PDU会话，并同步扩容配套数通、分光/光放等设备"/>
        <s v="徐州地区BRAS/SR新增136个等效10G端口等"/>
        <s v="南通地区BRAS/SR新增190个等效10G端口，替换5台诺基亚贝尔BRAS等"/>
        <s v="镇江地区BRAS/SR新增140个等效10G端口等"/>
        <s v="泰州地区BRAS/SR新增80个等效10G端口，替换3台诺基亚贝尔BRAS等"/>
        <s v="无锡地区BRAS/SR新增502个等效10G端口，替换4台诺基亚贝尔BRAS等"/>
        <s v="盐城地区BRAS/SR新增230个等效10G端口等"/>
        <s v="淮安地区BRAS/SR新增300个等效10G端口等"/>
        <s v="南京地区BRAS/SR新增400个等效10G端口等"/>
        <s v="苏州地区BRAS/SR新增580个等效10G端口，替换7台诺基亚贝尔BRAS等"/>
        <s v="连云港地区BRAS/SR新增130个等效10G端口等"/>
        <s v="宿迁地区BRAS/SR新增188个等效10G端口，替换2台诺基亚贝尔BRAS等"/>
        <s v="采用大立项精方案模式，共计建设4套专用型边缘UPF设备，后期根据实际项目进展进行精方案的编制、审批和建设"/>
        <s v="采用大立项精方案模式，共计建设3套专用型边缘UPF设备，后期根据实际项目进展进行精方案的编制、审批和建设"/>
        <s v="在泰州恒力制动器制造有限公司数据中心建设1套专用型边缘UPF设备"/>
        <s v="在淮安市第三人民医院建设1套专用型边缘UPF设备"/>
        <s v="在张家口、韶关、深圳共增设6个骨干核心节点；省际带宽扩容95.8Tbps、撤销29.2Tbps，到达652.7Tbps；开展42台现网设备自主可控替代"/>
        <s v="在张家口、韶关、庆阳、芜湖共增设8个骨干核心节点；新增甘肃-新疆等16个省际局向；省际带宽新增12.1Tbps、撤销16.4Tbps，到达43.2Tbps；开展62台现网设备自主可控替代"/>
        <s v="首次引入核心网数字孪生体系，在浙江、河南、广东、江苏等先发省份建设孪生载体测试床，实现FOA测试加速和业务创新赋能新技术验证；建设孪生平台，通过网络孪生模块实现复杂容灾信令冲击预演、容灾历程仿真等新技术验证，通过业务孪生模块实现高价值用户感知仿真等新技术验证，赋能精准建设和精细化运营"/>
        <s v="利用苏北16套华为ATCA设备组成2个跨地市大POOL，替换苏北全部华为CPCI端局，16套ATCA设备利旧CPCI硬件扩容到450万用户/套；利旧南京、苏州共4只华为GMSC和4只DM，利旧2只华为eMSC和4只eMGW，共6套MSC SERVER和8套MGW，新建1个华为MSC POOL，替换苏南全部爱立信端局"/>
        <s v="建设2025年VoNR+网络新技术（新通话四期试点）试点测试环境"/>
        <s v="在南京集中新建I-SBC设备，建设总规模为60.4万ERL，硬件一次建设到位，软件分批建设，第一批次软件建设容量为22.9万ERL，其中包含13.6万ERL新增容量、9.24万ERL替换容量"/>
        <s v="对苏州、无锡、南通、常州、镇江等5个地市的83套BSC进行AOIP改造，接入新建的苏南华为MSC POOL"/>
        <s v="对镇江现网2台ToB共享UPF进行软硬件扩容，扩容容量17.2万PDU会话"/>
        <s v="统筹全网资源，根据业务需求、现网资源使用情况优化带宽布局，持续提升IP专用承载网承载效能；对扩容节点开展非自主可控设备、板卡替换，确保2026年IP专用承载网自主可控比例达到100%"/>
        <s v="扩容网间互联带宽13.4Tbps，其中为保证重点客户感知设置保障通道带宽7.4Tbps；开展非自主可控设备、板卡替换，确保2025年国内网间出口设备全部实现自主可控"/>
        <s v="（一）物联网4G/5G/NB融合核心网：SMF/SAEGW-C/GGSN-C、融合CHF/CG扩容基础容量2669万承载PDP、5G容量2190.5万PDU会话；省级专线UPF扩容基础容量2708.8万承载PDP、5G容量2646.3万PDU会话；四融合AUSF/UDM/UDR扩容基础容量4647万动态用户、5G容量496万动态用户、VoIMS容量2217万动态用户；数据业务二融合PCF/UDR扩容5G容量514万PDU会话；新增信令安全网关62套，满足2540套等效UPF节点的接入需求。（二）物联网IMS核心网：ISE-CSCF/BGCF、VoLTE AS、物联网二级ENUM/DNS等IMS网元扩容1940万用户容量；智能网SCP/AS/SCP扩容1902万用户容量；OMC运维分析工具新增3370用户容量。（三）物联网融合消息中心：扩容1876万忙时注册用户，新增MSC/VLR联合附着功能容量31938万户。（四）新技术新功能升级：择优引入网联无人机、XR、双发选收、内生安全、语音用户数据故障Bypass、网投查询等新功能"/>
        <s v="新增支持3247万语音保障容量（其中1945万5G网络接入使用用户）业务发展需要，按需扩容AMF/MME、I-SMF/SGW-C、CHF/CG、I-UPF/SGW-U、NRF、DRA等网元：（1）在网络云八大区资源池扩容AMF/MME、I-SMF/SGW-C、CHF/CG，其中AMF/MME新增基础容量3247万户、5G容量1945万户，I-SMF/SGW-C、CHF/CG新增基础容量6494万承载、5G容量3890万PDU会话；（2）在网络云华北（河北）、华南（广东）大区扩容NRF、DRA，其中NRF扩容1945万户、DRA扩容3.2万MPS；（3）在31省省中心扩容I-UPF/SGW-U，新增基础容量6494万承载、5G容量3890万PDU会话"/>
        <s v="完成现网IDC系统中50台老旧网络设备的替换，消除网络关键隐患；新增4台服务器，完成对IDC信息系统的CU控制单元、网络安全模块进行升级改造，满足两部委考核创新试点工作要求"/>
        <s v="IDC汇聚路由器和城域网核心路由器共扩容65套100G板卡license、11套10G板卡license；全省12台核心路由器升级至3.2T平台等"/>
        <s v="5G核心网、用户数据、智能策略控制、自智网络"/>
        <s v="HNRF/SCP：新增转接能力61万MPS；LNRF/SCP：新增用户容量0.54亿户、转接能力222万MPS；计费NRF：新增用户容量0.54亿户"/>
        <s v="为满足集团公司关键信息基础设施国产化替代工作要求，完成DNS关键系统54台服务器替换与改造"/>
        <s v="高铁专网用户行为精准识别、UPF业务识别及体验评估能力提升、NWDAF保障数据分析"/>
        <s v="满足至2026年底9.8亿VoLTE/VoNR用户、1.2亿新通话智能应用用户和5亿智能网用户业务需求"/>
        <s v="对泰州现网2台ToB共享UPF进行软件扩容，共扩容10万PDU会话"/>
        <s v="新建31对CBCF：每省设置1对，按照1+1容灾方式部署于“8+X”大区中心；升级全网约160套AMF设备：根据现网AMF POOL挂接5G基站规模大小，每省每POOL选取1对-2对AMF进行升级改造"/>
        <s v="对扬州现网2台ToB共享UPF进行软件扩容，共扩容10万PDU会话软件（2套UPF平分），总计达到20万PDU"/>
        <s v="对南通现网2台ToB共享UPF进行软件扩容，共扩容11万PDU会话软件（2套UPF平分），总计达到30万PDU"/>
        <s v="对盐城现网2台ToB共享UPF进行软件扩容，共扩容10万PDU会话软件（2套UPF平分），总计达到20万PDU"/>
        <s v="完成IT云虎踞路59号一楼机房设备搬迁利旧，包括5台一体机、27台服务器和配套存储、网络等设备，同时配套建设6台数据中心交换机、9台低端三层交换机等网络设备"/>
        <s v="对淮安现网2台ToB共享UPF进行软件扩容，共扩容17.7万PDU会话软件（2套UPF平分），总计达到30万PDU"/>
        <s v="升级现网ToC AMF支持异网漫游功能（江苏一对，安徽一只），新建一对BG支持用户面互联互通"/>
        <s v="全省各区县BRAS共扩容190块MPC智能板卡"/>
        <s v="在南通招商局重工（江苏）有限公司厂区机房内建设1套专用型边缘UPF设备，系统容量2万PDU、20Gbps"/>
        <s v="配合南京、南通、盐城三个地市相关IDC机房出口带宽的扩容，同步完成IDC DPI系统配套建设；全省完成6800G带宽处理能力DPI设备及XDR服务器的建设，同时利用下线带宽3930G的DPI处理能力完成现网1600G处理能力DPI设备及XDR服务器的替换"/>
        <s v="完成南京、苏州、南通、盐城、泰州五个地市相关IDC机房出口带宽的调整及扩容，全省新增IDC出口带宽6800G、撤消出口带宽3930G，共计完成出口带宽扩容2870G，同步完成网络及信息安全设备的扩容"/>
        <s v="IDC汇聚路由器和城域网核心路由器共扩容21套100G板卡license；PSR扩容28块100G板卡"/>
        <s v="采用大立项精方案模式，共计建设10套专用型边缘UPF设备，后期根据实际项目进展进行精方案的编制、审批和建设"/>
        <s v="在常州新建一套共享UPF、扩容软件容量16万PDU会话"/>
        <s v="控制面对中兴新通话试点资源池扩容，并在其上部署家庭UDM、家庭AAA、家庭SMF、家庭CHF虚拟测试网元，用户面新建2台UPF测试网元，新建控制面及用户面测试网元与现网toC核心网及CMNET对接，联合搭建人家互联试点网络"/>
        <s v="全省地市分公司BRAS/SR共扩容2780个10G等效端口"/>
        <s v="新增1.2亿智能网用户容量，新增一键拉起多方语音通话、国漫V网、跨省集团V网、跨省融合V网、固话安全管控等5项新功能，进行34套虚拟化网元搬迁"/>
        <s v="在苏州新建一套共享UPF、扩容软件容量20万PDU会话"/>
        <s v="在南通新建一套共享UPF、扩容软件容量15万PDU会话"/>
        <s v="在徐州新建一套共享UPF、扩容软件容量10万PDU会话"/>
        <s v="在南京新建四套共享UPF、扩容软件容量40万PDU会话，以及配套分光和数通设备"/>
        <s v="在淮安新建一套共享UPF、扩容软件容量15万PDU会话"/>
        <s v="在盐城新建一套共享UPF、扩容软件容量16万PDU会话"/>
        <s v="每分公司各新建一对交换机用于视频语音专线本地汇聚"/>
        <s v="对集团要求的“自解析内循环”应急保障和规范化域名封堵处置功能、域名急救产品的监控告警功能和完善精准调度产品能力及省内CDN合作客户TTL优先刷新保障和IP地址反向解析产品化支撑功能开展研发改造"/>
        <s v="提升态势感知、合规管控、基础防护三大能力，开展1+6+X防护技术手段的扩容，进行威胁感知分析、安全运营智能体、资产四单一致、动网指令管控、安全基线检查、终端数据保护、可信访问控制等方面建设"/>
        <s v="聚焦客户，锻造产品、渠道和服务能力，通过数字员工队伍建设、AI能力优化提升、大模型应用场景应用，加速AI+规模突破；加强数据整合和需求挖掘，构建指标数智自助能力，实现政企项目融能支撑"/>
        <s v="开展企业数据中心的营销服务体系、内部IT治理、AI+赋能生产流程、支撑对外变现等方面的软件开发工作"/>
        <s v="开展企业数据中心文旅、公安、金融等行业应用模型群、引入高德等内外部数据资源完善基础数据资产体系等方面的软件开发工作"/>
        <s v="新增算力服务器1466台"/>
        <s v="根据IT云机房的整合计划，对腾退机房的515台服务器、7台一体机及相关存储、网络设备等进行搬迁利旧使用，同时配套建设28台数据中心交换机等网络设备"/>
        <s v="在苏州塔园路和园区固话IMS机房增加92台分光设备和5台汇聚设备完成IMS注册类固话的媒体和信令数据采集；在南京江北数据中心机房增加1台汇聚设备，用于接收采集的固话IMS数据，并传送给省通信管理局系统"/>
        <s v="依托互联网电视运营平台，面向家庭场景首期新建AI数智助理服务管理模块、商户（社区）信息服务模块、家庭周边服务信息互通模块、用户自控制终端数据管理模块四大核心模块"/>
        <s v="利旧现网45台通用服务器和12台用户面探针设备，并由中兴公司负责提供14台控制面探针设备、9台交换机和试点软件，在苏州汾湖、园区、塔园路、昆山前进西路、吴江中山和南京浦口高新机房完成基于统一DPI的网络安全数据底座试点系统建设和功能验证"/>
        <s v="构建网联信息预警类、协同辅助驾驶类和协同自动驾驶类共3类多种场景的系统验证体系，建成城市道路150公里和高快速路30公里的感知基础设施，实现全域基于5G的车联网专网服务，建立2个边缘节点下沉、1个区域节点"/>
        <s v="建设不超过1251台服务器及其配套网络设备，满足网络部ZZKK替换需求"/>
        <s v="新增1套应用开发软件，对测速稳定性增强、测速准确性提升、测速安全性及一致性校验、全渠道测速能力支撑、4/5G/WIFI/有线一体化测速能力支撑、测速数据多维度统计分析、家庭组网路由器终端库管理、第三方测速能力引入等能力提升开展功能改造"/>
        <s v="对苏州汾湖数据中心的一体化安全可信防护系统进行扩容，包括安全态势感知系统、僵木蠕检测系统、集群网络抗DDoS系统、安全能力资源池、商用密码管理系统和统一认证与4A平台；新增2台路由器、2台交换机、2台防火墙、2台抗DDOS设备、1台僵木蠕检测设备和12台服务器，并进行功能改造和优化"/>
        <s v="在支撑网现网基础上进行应用软件开发，包括升级CHBN融合营销支撑能力、强化数据赋能营销体系、加速AI赋能业务支撑、推进综合办公数智转型等相关需求的开发"/>
        <s v="开发建设面向用户的智慧家庭服务管理平台，整合各品牌家庭智能设备的协议与规范，用户无需依赖各品牌单独的APP，统一使用移动提供的客户端，实现智能家居控制、场景联动、自动化配置、告警联动、AI服务等功能服务"/>
        <s v="基于周边好生活业务系统为后端系统，开发集观影、个人事务管理、社区服务、购物、旅游、智能家居控制以及语音交互等多种功能于一体的AI数智助理个人客户端"/>
        <s v="基于现网互联网电视能力提升平台，开发增加智能运营支撑模块，实现家庭客户端服务子系统、AI信息创作子系统、流量投放管理子系统等相关功能"/>
        <s v="新增26台高端路由器、352台低端三层交换机、2台高端防火墙、50台中低端防火墙、2台WAF、1套网络流量溯源系统；扩容2块数据中心交换机板卡"/>
        <s v="异常流量及流量流向分析平台扩容软件一套"/>
        <s v="完成2025年产品全生命周期管理与支撑平台软件开发，重点围绕产品管理平台门户、产品全生命周期管理、平台基础能力等方面进行建设，实现产品全生命周期各环节的数字化、智能化，强化对一线营销的支撑赋能"/>
        <s v="该工程升级应用层DDoS攻击防御端网联动能力，扩展新型DDoS攻击防御能力，并在北京、上海等5个骨干节点合计扩容2.6Tbps骨干清洗能力"/>
        <s v="建设不超过1083台服务器及其配套网络设备，满足数智化部、渠道网格运营中心、网络与信息安全管理中心ZZKK替换需求"/>
        <s v="从架构演进、监控能力演进、运维管理能力提升、数智化运营能力提升4方面，对业务支撑运营管理平台相关应用软件功能升级改造"/>
        <s v="新增基于DNS日志的每日域名上报功能，扩充查询及反馈字段，完善常见问题的溯源定位及排查能力；同时提升日志查询并发量及响应时间等性能指标"/>
        <s v="在电渠系统现网基础上进行应用软件开发，包括提升统一登录体验、建立性能治理机制、推进营销资源券化等电渠能力的开发"/>
        <s v="在信令监测系统现网基础上进行改造，扩容3套插卡式汇聚设备和34块增强业务卡，将信令数据处理后送给使用方系统"/>
        <s v="完成全省16栋办公楼宇的数据采集和建模工作，改造完善9个BIM软件模型，完成区县级楼宇资产信息的平台纳管；升级基于数字孪生技术的智慧楼宇底座模型，融合门禁、监控等多维数据，对楼宇节能、工位覆盖优化等场景进行模拟仿真，优化数据传输设计，逐步实现全省办公楼宇的集中运营"/>
        <s v="基于现网互联网电视业务管理平台（HDC）及视联网业务融合运营管理平台完成软件功能升级改造开发，包括HDC平台改造开发增值订购及用户运营、数据分析及驾驶舱、基础能力及多形态支撑等三个模块，视联网平台改造开发AI智能眼镜流程管理、CH数据资产及设备管理功能优化、统计分析报表和功能优化等三个模块"/>
        <s v="在云资源池运营质量分析系统现网基础上进行应用软件开发，构建移动大云、华为合营云、省内自建云等公有云重客业务分析支撑能力"/>
        <s v="对业务支撑系统老旧设备进行替换，建设服务器1037台及其配套存储、网络设备、安全设备和虚拟化软件"/>
        <s v="建设大语音业务运营管理平台，实现精准AI实时风控监测，以“风险预判-精准拦截-深度治理”全链路管控为核心，覆盖注册类、非注册类语音业务事前、事中、事后端到端管理流程"/>
        <s v="建设不超过193台服务器及其配套网络设备，满足产品运营中心ZZKK替换需求"/>
        <s v="扩容不超过157个数据库节点许可和378个虚拟化软件许可，满足业务支撑系统国产化替换需求"/>
        <s v="升级DNS设备功能，支持100万个黑名单域名和10万个黑名单域处置功能，结合DNS系统负荷按需进行硬件扩容和存量老旧设备替代（本项目为涉诈域名处置能力建设的硬件改造部分）"/>
        <s v="升级DNS设备功能，支持100万个黑名单域名和10万个黑名单域处置功能（本项目为涉诈域名处置能力建设的软件开发部分，硬件扩容与替换在硬件改造项目中完成）"/>
        <s v="在业务支撑网现网基础上进行应用开发，包括升级CHBN融合营销支撑能力、强化数据赋能营销体系、加速AI赋能业务支撑、推进综合办公智能转型等应用开发"/>
        <s v="在电子渠道系统现网基础上进行应用软件开发，完成电子渠道系统所有数据库的国产化改造、用户异动洞察和规范服务质量能力建设"/>
        <s v="在南京直联点同步扩容DPI两套，覆盖电信方向、联通方向新增链路各5*100G"/>
        <s v="完成智慧健康服务二级平台软件开发，打通医院挂号、在线问诊能力，提供AI问诊、预约挂号等健康服务，围绕守护、睡眠、跌倒、陪伴四大场景，基于分级服务调度体系、自有通信数据分析，打造适老化亲情守护模型，打造大屏语音交互、小屏服务入口，构建康养产品商城、呼叫服务中心，形成江苏移动专属的智慧健康生活平台"/>
        <s v="完成数字空间业务平台软件开发，新增建设M-Space资产汇聚和XR运营管理两大模块，打造数字藏品、XR大空间等标准化产品服务，打通内容创作、展示及交易的全链路，打造公司数字内容生态；面向B端提供元宇宙XR、数字资产发行等标准化解决方案"/>
        <s v="平台扩容99万flow流量采集能力、22万flow数据挖掘能力、100万flow流量转发能力、5台报表服务器"/>
        <s v="建设智慧机房运营管理系统，拉通机房运营管理各环节并整合EPMS、EOMS、故障管理系统等现有系统流程，实现系统与流程的高效协同，开发机房进出管理、机房内操作管控数智化、机房内异常识别自动化、汇聚机房全景可视化、打造AI智能体等能力"/>
        <s v="在信令监测系统现网基础上，配套核心网ISBC、2G语音等网元改造，同步调整语音信令采集"/>
        <s v="在数智助手现网基础上新建员工个人助手，增加灵犀助手、网络运维助手应用场景；在智宇平台基础上增强大模型开发工具链和AI基座能力"/>
        <s v="重点开展IT域4A系统及号卡集中化渠道支撑系统商用密码应用改造、IT域商用密码管理平台建设等内容，保障相关业务系统顺利通过商用密码应用安全性评估，满足两部委考核要求"/>
        <s v="面向公司管理信息领域中的战略、办公、党建、财务、人力、审计、巡视、供应链、工会等领域相关系统进行软件升级改造"/>
        <s v="在网管系统现网基础上进行应用软件开发，包括政企市场单点版FTTO-H业务开通流程编排、家客市场装维电子确认单、企宽接口选址、基站退服故障预判等功能优化"/>
        <s v="在自动拨测系统现网基础上进行扩容，包括新增48台拨测设备和搬迁利旧部分现网拨测设备，满足互联网业务质量分析需求"/>
        <s v="基于现有平台完成软件功能升级改造的开发，包括现有业务流程升级改造、建设事件营销能力、提升投诉处理数智化支撑能力、打造商机单业务流程四个方面"/>
        <s v="重点开展省端移动网流量安全监测管理平台和流量安全监测处置能力升级改造，包含省端流量安全监测处置平台升级、涉诈APP预警处置能力升级、新增高质量专项数据对接功能、新增MD5封堵模块、升级流量实时采集及数据提取还原等能力"/>
        <s v="在电子渠道系统现网基础上进行应用软件开发，包括营销活动、微店能力及营销卡券等相关功能开发"/>
        <s v="按照2025年城域数据网（CMNet）核心路由器扩容项目扩容后的上行带宽同步扩容光放大器、一分四分光器和汇聚分流设备，以实现对互联网专线流量全量管控，满足两部委考核要求"/>
        <s v="根据集团公司反诈平台技术要求进行系统功能优化与改造，包括集团联动处置功能升级、手机号码治理、固话号码治理、地市功能模块部署、DeepSeek大模型应用、整体系统迁移及国产化升级等"/>
        <s v="重点开展网络空间资产探测能力扩容和互联网恶意网址监测拦截报送能力建设，提升互联网暴露面安全管控能力"/>
        <s v="在网管系统现网基础上进行应用软件开发，重点推进门户入口收敛、打造各领域智能体18个、沉淀原子能力130个，推进网管系统向AI原生网管目标架构演进"/>
        <s v="基于现有平台完成5G新通话AI智能体应用、用户业务功能升级、管理后台等三大功能模块的软件开发升级"/>
        <s v="在集客接入侧设备统一管理平台现网基础上进行应用软件开发，实现FTTO接入设备管理、专线卫士接入设备管理、集客语音安全管理和国产化数据库改造等功能"/>
        <s v="基于现有平台完成软件功能升级改造的开发，包括集团福袋业务模型升级、集团福袋场景化功能建设、集团福袋商城升级及权益业务底座能力升级四个方面"/>
        <s v="基于现有平台完成软件功能升级改造的开发，包括权益多模态业务体系打造、属地商户经营与平台协作优化、智能能力与数智总线锻造、营销可视化编排拓展、三位一体监控平台建设及技术底座夯实六个方面"/>
        <s v="基于现有平台完成软件功能升级改造的开发，包括保险业务智能风控与运营升级、超级SIM生态化运营服务能力建设、平台基础支撑能力升级、产品矩阵创新与精准运营赋能、数据安全与合规管理体系强化、跨终端服务能力优化与拓展六个方面"/>
        <s v="基于现有平台完成软件功能升级改造的开发，包括云电脑屏幕管理功能优化、跨生态跨终端AI交互管理、云电脑计费管理升级；Windows应用智能感知和运营、应用及权益运营升级、节点级和单用户级的质量监控和告警等方面"/>
        <s v="基于现有平台完成软件功能升级改造的开发，包括AI智能眼镜流程管理、日常报表统计分析优化、系统管理三个方面"/>
        <s v="基于现有平台完成软件功能升级改造的开发，包括微短剧业务体系建设、智能营销体系、智慧运营能力、平台自主可控四个方面"/>
        <s v="基于现有平台完成软件功能升级改造的开发，包括升级智能组网管理、智能终端管理、家庭潜客模型管理三个方面"/>
        <s v="在ICT统一接入网管平台现网基础上进行应用软件开发，建设玄武智慧运维平台，完成对外基础能力提升、全省ICT项目运维管理能力开发和数据库国产化改造等相关功能开发，实现内外部ICT接入网管能力融合发展"/>
        <s v="重点开展营业终端安全管控系统管理控制中心、准入控制网关和终端客户端软件建设，提升营业终端安全管控水平"/>
        <s v="基于现有平台完成软件功能升级改造的开发，包括增值订购管理、数据分析、合作方评价、客服支撑、基础能力、用户运营及融合营销七个方面"/>
        <s v="呼叫节点硬件规模扩容4512万用户、软件许可扩容3053万用户，新增和优化基于终端DC能力的互动视频彩铃、1080P高清视频彩铃自适应播放等10项软件功能"/>
        <s v="为满足集团公司关键信息基础设施国产化替代工作要求，对现有系统功能软件进行适配改造，完成国产数据库对开源数据库平滑替代"/>
        <s v="在南京建设1套无线OMC（操作维护中心）AI智能融合板数据分析处理单元"/>
        <s v="为六合机房设备改造，包括老旧网络设备的替换、存储备份网络双节点改造、13台GPU服务器搬迁到仪征机房搭建AI应用测试与开发环境等相关改造"/>
        <s v="完善总部密码管理平台，对网络部关基及重要系统，就远程管理通道、重要数据存储、网络传输、身份鉴别四个场景开展商用密码改造"/>
        <s v="重点开展网管网全流量分析平台日志存储与解析性能扩容、全流量探针设备扩容，完善流量检测与分析体系，提升网管网整体安全威胁检测能力"/>
        <s v="基于现有平台完成软件功能升级改造的开发，包括个人业务生态与数字资产创新升级、政企业务全场景服务能力提升、智能风控体系升级、平台效能与运营能力提升四个方面"/>
        <s v="基于现有平台完成软件功能升级改造的开发，包括新产品引入、平台能力升级、省公司个性化支撑、数智化转型及安全合规五个方面"/>
        <s v="在B域系统现网基础上进行软件开发，包括服务入口层11个专题、业务能力层12个专题、数智底座层5个专题、AI原生基础设施7个专题的功能开发"/>
        <s v="在支撑网现网基础上进行软件开发，包括市场领域7类需求、政企领域4类需求、数智能力及其他领域4类需求的功能开发"/>
        <s v="基于现有平台完成软件功能升级改造的开发，包括泛屏统一推荐、微细分运营、AI模型接入、泛终端融合、融媒体平台、AI统一播放器、画质增强七个方面"/>
        <s v="重点开展资产探测部省接口改造扩容、资产管理模型升级、资产数据质检改造扩容等能力建设，提升漏洞及恶意IP涉及资产的快速排查和定位能力"/>
        <s v="重点开展部侧安全中台与部侧安全态势感知平台上报、态势全流量采集能力、部侧溯源平台全网联动升级改造等能力建设，通过智能化手段提高安全事件告警的溯源、处置及时性与准确性"/>
        <s v="基于现有平台完成软件功能升级改造的开发，包括全屏智能推荐能力、AIGC能力建设、搜推智能体、长尾推荐算法优化四个方面"/>
        <s v="基于现有平台完成软件功能升级改造的开发，包括缴费充值收银台新支付通道引入、新渠道/平台接入开发支撑、多形态收银台开发支撑、省内易充值业务能力建设、支付收银台用户体验优化、营销活动开发支撑、金融账户流程优化提升、金融风控、系统强化等八个方面"/>
        <s v="重点开展应用层DDoS攻击检测模块扩容升级，包括新增配置接收能力、新增应用层指令下发接口、新增应用层DDoS攻击监测上报能力、新增应用层DDoS攻击快速检测智能模型等能力"/>
        <s v="重点开展僵木蠕前端设备检测能力、互联网僵木蠕管理平台能力、物联网僵木蠕管理平台能力等升级改造，强化网络安全技术保障，完善木马和僵尸网络监测与处置能力"/>
        <s v="对现有行业端口管控平台进行升级替代，通过人工智能分析能力，应用文本意图自动分析策略，训练适用于不同类型行业端口短信识别模型，实现数据对接与转发、智能分析研判、模型管理和标注、要素管理等功能，精准、高效、智能识别和拦截诈骗、营销等垃圾信息"/>
        <s v="根据省通信管理局考核和加分要求，建设跨境流量风险分析能力、跨境数据风险分析能力，对苏州、无锡、常州等地区城域网跨境流量进行监测和风险分析，并将监测分析的风险事件报送省管局平台，以提升跨境数据安全管控能力"/>
        <s v="重点开展网络安全漏洞管理平台功能扩容升级及考核分析探针扩容建设，满足工信部考核中关于上报数据及时性、排查范围完整性、修复加固有效性等要求，提升安全管控能力"/>
        <s v="对12580业务平台系统改造升级，实现12580语音门户的重构和智能语音能力建设"/>
        <s v="在信令监测系统现网基础上同步核心网进行扩容，包括新增苏州城南机房的采集、网络云七期码流回传、广电信令采集和IMS域信令采集扩容等"/>
        <s v="重点建设5G双域专网安全网关、自动化攻击验证、基线配置检测、安全智能体工具平台等能力，开展账号角色权限矩阵、涉敏行为管控、AI能力融合、安全运营门户、安全日志降噪、合规检测能力提升、数据资产安全管理等方面扩容改造"/>
        <s v="在网管系统现网基础上进行定制软件开发，满足政企业务、家客业务、网络优化、网络资源管理、故障监控调度和数据共享分析等网管支撑需求"/>
        <s v="扩容用户0.3亿，新增和优化国内漫出用户来话处置、告警、安全管控等9项软件功能，并对部分非自主可控节点进行自主可控改造"/>
        <s v="配套核心网网络云七期，在科创中心机房建设信令监测系统码流回传相关设备"/>
        <s v="在江北科创中心新办公场地完成基本装修的基础上实施相关系统的配套建设，包括定制化监控坐席、LED大屏系统、声讯系统等配套设施"/>
        <s v="对515台服务器进行搬迁利旧，满足南京、苏州、无锡等重点城市的信令监测系统HTTPS、通用类单据取消合并需求"/>
        <s v="根据工信部与集团公司最新要求对垃圾短信治理省侧系统进行改造，实现垃短治理系统预留号码识别通配符策略、端口短信报备信息鉴权、增强研判处置等功能系统拦截等功能"/>
        <s v="利旧191台服务器，对信令监测系统合成服务器进行扩容"/>
        <s v="新建10台防火墙，对现网防火墙进行替换"/>
        <s v="开展企业数据中心数据架构重构、大数据平台技术架构演进、属地深耕能力提升、品质管理数智能力新增、新型融合诈骗防控、支撑对外变现等方面的软件开发工作"/>
        <s v="在省IT云申请虚拟机资源，部署小型化SPN设备的集中管控一体OMC系统软件，且北向与接入侧设备管理及激活系统互通，实现统一管控"/>
        <s v="在电子渠道系统现网基础上进行应用开发，包括业务办理标准化与智能化、敏捷活动上线能力、卡券与AI智投联动等业务能力的开发"/>
        <s v="利旧40台服务器，对上网日志系统合成服务器进行扩容"/>
        <s v="扩容用户2.32亿，新增和优化闪信提醒、来电防护、移动安全管家互通等15项软件功能，并对部分非自主可控节点进行自主可控改造。"/>
        <s v="对现网华为网间虚假主叫监控平台系统进行软件功能改造，实现支持天通卫星业务VLR可配置功能、支持天通卫星业务放通可配置功能"/>
        <s v="按照2026年城域数据网（CMNet）一阶段建设项目扩容后的上行带宽扩容光放大器、一分四分光器、汇聚分流及网信安设备，以实现对互联网专线流量全量管控，满足两部委考核要求"/>
        <s v="建设省市两级量子密码服务中心，计划采用异厂家异构方式布局，市级密码服务中心对接量子城域网用户站的QKR设备，接入量子网络，为用户提供量子密钥分发服务，并配合密码模块或密码设备提供密码运算服务；省级密码服务中心为全省提供“普安”加密场景业务，同时作为市级密码服务中心异局址备用节点"/>
        <s v="新建用户面UPF、SPF网元各1套，与无线专业和业务平台专业联合搭建苏州低空经济技术试验网"/>
        <s v="重点聚焦AI终端管理APP、平台底座和AI泛终端专属能力三大模块建设：平台底座模块实施多协议适配、标准物模型构建，打造跨端场景联动引擎；AI泛终端专属能力模块重构AI眼镜、戒指、玩具三大软硬一体化产品；APP模块依托终端管理APP构建统一用户入口，全面贯通多模态交互、跨品类终端智控与个人数字资产空间"/>
        <s v="完成2026年DaaS数据设施苏州数据流通利用数联网软件开发项目，重点建设数联网区域功能节点和数联网区域流通利用平台，建设数据流通利用标准化基础能力，实现接入连接器的接入、控制和管理，建设服务全苏州的数据流通利用基础设施，推动数据互联互通。"/>
        <s v="DPI扩容新增2.4T链路监测能力（淮安1.2T，泰州、扬州、镇江各0.4T），新建20台XDR话单服务器、2台平台管理服务器等"/>
        <s v="建设境外来电监测、高风险手机用户被叫通话监测、IMS信令回注封堵与过白核验、声纹监测等手段，相关功能基于大语音业务运营管理平台现有能力进行扩容升级，构建针对手机用户被叫诈骗场景的专项监测与处置能力（本项目为软件开发部分）"/>
        <s v="建设境外来电监测、高风险手机用户被叫通话监测、IMS信令回注封堵与过白核验、声纹监测等手段，相关功能基于大语音业务运营管理平台现有能力进行扩容与升级（本项目为硬件部分），部署均衡型服务器7台、存储型服务器6台、推理型服务器7台"/>
        <s v="完成科创成果转化平台软件的开发工作，保障成果生命周期高效流转与价值释放，助力科创成果转化提效"/>
        <s v="完成省内行业网关软件升级改造，支持子端口白名单鉴权信息上报、CMPP协议MD5改成国密算法、支持对接集团先审后发平台、并支持用户号段拦截功能等4项功能优化升级"/>
        <s v="迭代升级“1+6+X”防护体系，构建弹性、智能通信网安全防护体系，全面应用人工智能技术支撑安全运营提质增效；对AI智能安全运营平台、SOC安全运营管理系统、4A网络安全管控平台、安全合规管理平台、安全域规则和策略管理平台、网络数据管控平台和欺骗式防御系统进行功能升级改造，并新增2台数据库审计产品和13套国产化数据库"/>
        <s v="完成涉诈互联网黑灰产分析预警平台软件开发，重点建设违规CDN业务、秒拨IP分析预警能力，接码平台违规注册互联网账号的风险防控能力，远控类诈骗识别阻断能力、隐蔽黑灰产平台安全检测能力以及黑灰产窝点线索挖掘等安全能力"/>
        <s v="为企业数据中心新建一套ORACLE一体机"/>
        <s v="基于省内智算X节点硬件资源搭建江苏云视讯会议系统，服务重点政企集团客户，作为总部云视讯平台的有效补充，解决总部云视频平台长期遗留问题，同时兼做总部云视讯平台的容灾备份"/>
      </sharedItems>
    </cacheField>
    <cacheField name="本周进展(20260814)" numFmtId="0">
      <sharedItems count="74">
        <s v="系统已割接上线"/>
        <s v="硬件实施工作已结束，本周开展江北机房服务器虚拟化软件部署"/>
        <s v="无锡节点已完成上线并承载业务"/>
        <s v="咪咕软件部署已完成，申请集团4A纳管中；华为软件部署中（总体完成率85%）"/>
        <s v="已完工，待割接上线交维。"/>
        <s v="基本完成建设内容，尚缺18台推理服务器，到货时间不确定"/>
        <s v="因4090D算力卡设备无法采购，项目拟取消"/>
        <s v="服务器已到货，待网络设备到货后完成组网联调"/>
        <s v="本周仪征数据204机房ROCE交换机48个光模块完成更换，锐捷交换机调试完成，仪征机房到江北数据中心的光路调试完成，科创301机房的4台PPU的电源线已补发到货。"/>
        <s v="服务器未完整到货，待服务器、网络设备到货后完成组网联调"/>
        <s v="待服务器、网络设备到货后完成组网联调"/>
        <s v="已完成割接上线交维"/>
        <s v="项目已竣工验收"/>
        <s v="本周继续17池硬件集成（总体完成率60%）"/>
        <s v="正在进行割接上线交维"/>
        <s v="已完成割接上线交维，终验准备中"/>
        <s v="项目实施中"/>
        <s v="正在进行业务割接"/>
        <s v="本周完成苏州和无锡配套ODF和尾纤安装布放"/>
        <s v="已上线、试运行"/>
        <s v="工程实施中"/>
        <s v="本周完成省本部南京CR和无锡BR节点割接上线交维"/>
        <s v="本周完成第一批网元第4次割接（总体完成率30%）"/>
        <s v="本周完成省本部割接上线交维"/>
        <s v="正在进行立项变更，设备安装调测中"/>
        <s v="进行施工费审计，组织进行工程遗留问题处理。"/>
        <s v="设计方案与业务部门确认中"/>
        <s v="设备安装调测中"/>
        <s v="设计批复完成"/>
        <s v="设计文本及图纸准备中"/>
        <s v="完成设计批复，开工准备中"/>
        <s v="已完成设计派工"/>
        <s v="已完成全部建设内容，即将竣工验收"/>
        <s v="完成科创节点主设备设计文件评审及设计批复；协调网络设备加电，开始进行本机测试工作。"/>
        <s v="已完成全部建设内容，准备进行交维工作"/>
        <s v="已完成割接上线交维，本周完成转资"/>
        <s v="组织完成江北节点紧急需求第一批209台集成方案评审；协调紧急需求第二批主设备到货，并组织相关工程实施。"/>
        <s v="跟踪软件系统运行情况。"/>
        <s v="基本完成硬件实施工作"/>
        <s v="软件部署中"/>
        <s v="协助网信安进行4A资源申请和部署工作。"/>
        <s v="协助规划部完成立项变更工作，并商产品运营中心确定初步实施方案。"/>
        <s v="协助规划部完成立项变更工作，同步协调设计院进行设计变更工作。"/>
        <s v="协调设计院进行设计变更流程，协调网络部确定报表服务器组网和工程实施方案。"/>
        <s v="进行实施工作"/>
        <s v="本周完成本调及DCN接入（总体完成率40%）"/>
        <s v="已完成硬件部署，完工准备中"/>
        <s v="拨测设备部署中"/>
        <s v="已完成全部建设内容，准备进行验收准备"/>
        <s v="本周加电完成，下周设备安装调试。"/>
        <s v="本周完成设计批复"/>
        <s v="已完成全部建设内容，正在进行4A接入"/>
        <s v="完成22台leaf扩容入网及控制器纳管，以及相关主机设备迁移割接。"/>
        <s v="本周完成硬件割接入网"/>
        <s v="本周开展设备安装调试"/>
        <s v="跟踪合同签署情况。"/>
        <s v="设计编制中"/>
        <s v="提交PMS设计会审"/>
        <s v="已经完成全部硬件工作，正在进行软件部署"/>
        <s v="准备设计批复"/>
        <s v="已完成一体化派工"/>
        <s v="硬件施工中"/>
        <s v="完成第二阶段300余台利旧服务器上架施工及加电测试，开始进行系统集成工作。"/>
        <s v="协调网络部协助补测安全测试工作。"/>
        <s v="协调网络部协助补测安全测试工作；组织进行"/>
        <s v="本周开展数据配置"/>
        <s v="正在进行项目查勘"/>
        <s v="等待设计框架生效后设计派工"/>
        <s v="规划部请购中"/>
        <s v="合同未签订"/>
        <s v="待业务网设计框架生效后进行设计派工"/>
        <s v="已完成软件开发，等待部署上线"/>
        <s v="已协调取消项目"/>
        <s v="政企需求变化，拟取消项目"/>
      </sharedItems>
    </cacheField>
    <cacheField name="本周进展（20260821）" numFmtId="0">
      <sharedItems containsBlank="1" count="12">
        <s v="系统已割接上线"/>
        <m/>
        <s v="已完工，待割接上线交维。"/>
        <s v="系统已割接上线，已交维"/>
        <s v="基本完成建设内容，尚缺18台推理服务器，到货时间不确定"/>
        <s v="服务器已到货，待网络设备到货后完成组网联调"/>
        <s v="服务器和网络设备均已到货，分阶段领用到货设备和安装"/>
        <s v="设计院无框架，无法派工，工程暂停"/>
        <s v="服务器未完整到货，待服务器、网络设备到货后完成组网联调"/>
        <s v="设备都已到货，待集团客户部确认最终安装位置。"/>
        <s v="服务器计划下周三到货，交换机厂家还未有到货计划"/>
        <s v="项目已竣工验收"/>
      </sharedItems>
    </cacheField>
    <cacheField name="主设备请购完成率" numFmtId="9">
      <sharedItems containsString="0" containsBlank="1" containsNumber="1" minValue="0" maxValue="1" count="3">
        <n v="1"/>
        <m/>
        <n v="0.86666666666666703"/>
      </sharedItems>
    </cacheField>
    <cacheField name="是否交底" numFmtId="0">
      <sharedItems containsBlank="1" count="3">
        <s v="否"/>
        <m/>
        <s v="是"/>
      </sharedItems>
    </cacheField>
    <cacheField name="主设备到货完成率" numFmtId="9">
      <sharedItems containsBlank="1" containsMixedTypes="1" containsNumber="1" count="10">
        <n v="1"/>
        <m/>
        <n v="0.96319018404907997"/>
        <n v="0.57142857142857095"/>
        <n v="0.3"/>
        <n v="0.64444444444444404"/>
        <n v="0"/>
        <n v="0.44440000000000002"/>
        <n v="0.33"/>
        <s v="纯软"/>
      </sharedItems>
    </cacheField>
    <cacheField name="是否上线交维" numFmtId="0">
      <sharedItems containsBlank="1" count="3">
        <s v="是"/>
        <m/>
        <s v="否"/>
      </sharedItems>
    </cacheField>
    <cacheField name="是否竣工验收" numFmtId="0">
      <sharedItems count="2">
        <s v="否"/>
        <s v="是"/>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33">
  <r>
    <x v="0"/>
    <x v="0"/>
    <x v="0"/>
    <x v="0"/>
    <x v="0"/>
    <x v="0"/>
    <x v="0"/>
    <x v="0"/>
    <x v="0"/>
    <x v="0"/>
    <x v="0"/>
  </r>
  <r>
    <x v="1"/>
    <x v="0"/>
    <x v="1"/>
    <x v="1"/>
    <x v="1"/>
    <x v="0"/>
    <x v="1"/>
    <x v="1"/>
    <x v="1"/>
    <x v="1"/>
    <x v="1"/>
  </r>
  <r>
    <x v="2"/>
    <x v="0"/>
    <x v="2"/>
    <x v="2"/>
    <x v="2"/>
    <x v="0"/>
    <x v="0"/>
    <x v="2"/>
    <x v="0"/>
    <x v="2"/>
    <x v="2"/>
  </r>
  <r>
    <x v="3"/>
    <x v="0"/>
    <x v="3"/>
    <x v="3"/>
    <x v="3"/>
    <x v="0"/>
    <x v="0"/>
    <x v="3"/>
    <x v="0"/>
    <x v="3"/>
    <x v="2"/>
  </r>
  <r>
    <x v="4"/>
    <x v="0"/>
    <x v="4"/>
    <x v="4"/>
    <x v="4"/>
    <x v="0"/>
    <x v="1"/>
    <x v="4"/>
    <x v="1"/>
    <x v="4"/>
    <x v="3"/>
  </r>
  <r>
    <x v="5"/>
    <x v="0"/>
    <x v="5"/>
    <x v="5"/>
    <x v="5"/>
    <x v="0"/>
    <x v="0"/>
    <x v="5"/>
    <x v="0"/>
    <x v="5"/>
    <x v="2"/>
  </r>
  <r>
    <x v="6"/>
    <x v="0"/>
    <x v="6"/>
    <x v="6"/>
    <x v="6"/>
    <x v="0"/>
    <x v="0"/>
    <x v="6"/>
    <x v="0"/>
    <x v="5"/>
    <x v="2"/>
  </r>
  <r>
    <x v="7"/>
    <x v="0"/>
    <x v="7"/>
    <x v="7"/>
    <x v="6"/>
    <x v="0"/>
    <x v="0"/>
    <x v="7"/>
    <x v="0"/>
    <x v="6"/>
    <x v="2"/>
  </r>
  <r>
    <x v="8"/>
    <x v="0"/>
    <x v="8"/>
    <x v="8"/>
    <x v="7"/>
    <x v="0"/>
    <x v="0"/>
    <x v="8"/>
    <x v="2"/>
    <x v="7"/>
    <x v="2"/>
  </r>
  <r>
    <x v="9"/>
    <x v="0"/>
    <x v="9"/>
    <x v="9"/>
    <x v="7"/>
    <x v="0"/>
    <x v="0"/>
    <x v="9"/>
    <x v="1"/>
    <x v="8"/>
    <x v="4"/>
  </r>
  <r>
    <x v="10"/>
    <x v="0"/>
    <x v="10"/>
    <x v="10"/>
    <x v="8"/>
    <x v="0"/>
    <x v="1"/>
    <x v="10"/>
    <x v="1"/>
    <x v="9"/>
    <x v="5"/>
  </r>
  <r>
    <x v="11"/>
    <x v="0"/>
    <x v="11"/>
    <x v="11"/>
    <x v="9"/>
    <x v="0"/>
    <x v="0"/>
    <x v="11"/>
    <x v="1"/>
    <x v="5"/>
    <x v="6"/>
  </r>
  <r>
    <x v="12"/>
    <x v="0"/>
    <x v="12"/>
    <x v="12"/>
    <x v="10"/>
    <x v="0"/>
    <x v="0"/>
    <x v="12"/>
    <x v="2"/>
    <x v="10"/>
    <x v="6"/>
  </r>
  <r>
    <x v="13"/>
    <x v="0"/>
    <x v="13"/>
    <x v="13"/>
    <x v="11"/>
    <x v="0"/>
    <x v="0"/>
    <x v="13"/>
    <x v="1"/>
    <x v="11"/>
    <x v="6"/>
  </r>
  <r>
    <x v="14"/>
    <x v="0"/>
    <x v="14"/>
    <x v="14"/>
    <x v="12"/>
    <x v="0"/>
    <x v="0"/>
    <x v="14"/>
    <x v="2"/>
    <x v="12"/>
    <x v="6"/>
  </r>
  <r>
    <x v="15"/>
    <x v="0"/>
    <x v="15"/>
    <x v="15"/>
    <x v="13"/>
    <x v="0"/>
    <x v="0"/>
    <x v="15"/>
    <x v="1"/>
    <x v="13"/>
    <x v="6"/>
  </r>
  <r>
    <x v="16"/>
    <x v="0"/>
    <x v="16"/>
    <x v="16"/>
    <x v="14"/>
    <x v="0"/>
    <x v="0"/>
    <x v="16"/>
    <x v="2"/>
    <x v="14"/>
    <x v="7"/>
  </r>
  <r>
    <x v="17"/>
    <x v="0"/>
    <x v="17"/>
    <x v="17"/>
    <x v="15"/>
    <x v="0"/>
    <x v="0"/>
    <x v="17"/>
    <x v="2"/>
    <x v="15"/>
    <x v="6"/>
  </r>
  <r>
    <x v="18"/>
    <x v="0"/>
    <x v="18"/>
    <x v="18"/>
    <x v="16"/>
    <x v="0"/>
    <x v="0"/>
    <x v="18"/>
    <x v="2"/>
    <x v="16"/>
    <x v="8"/>
  </r>
  <r>
    <x v="19"/>
    <x v="0"/>
    <x v="19"/>
    <x v="19"/>
    <x v="16"/>
    <x v="0"/>
    <x v="0"/>
    <x v="19"/>
    <x v="2"/>
    <x v="3"/>
    <x v="6"/>
  </r>
  <r>
    <x v="20"/>
    <x v="0"/>
    <x v="20"/>
    <x v="20"/>
    <x v="17"/>
    <x v="0"/>
    <x v="0"/>
    <x v="20"/>
    <x v="2"/>
    <x v="17"/>
    <x v="8"/>
  </r>
  <r>
    <x v="21"/>
    <x v="0"/>
    <x v="21"/>
    <x v="21"/>
    <x v="17"/>
    <x v="0"/>
    <x v="0"/>
    <x v="21"/>
    <x v="2"/>
    <x v="6"/>
    <x v="8"/>
  </r>
  <r>
    <x v="22"/>
    <x v="0"/>
    <x v="22"/>
    <x v="22"/>
    <x v="17"/>
    <x v="0"/>
    <x v="0"/>
    <x v="22"/>
    <x v="2"/>
    <x v="12"/>
    <x v="8"/>
  </r>
  <r>
    <x v="23"/>
    <x v="0"/>
    <x v="23"/>
    <x v="23"/>
    <x v="17"/>
    <x v="0"/>
    <x v="0"/>
    <x v="23"/>
    <x v="2"/>
    <x v="18"/>
    <x v="9"/>
  </r>
  <r>
    <x v="24"/>
    <x v="0"/>
    <x v="24"/>
    <x v="24"/>
    <x v="18"/>
    <x v="1"/>
    <x v="2"/>
    <x v="24"/>
    <x v="1"/>
    <x v="19"/>
    <x v="10"/>
  </r>
  <r>
    <x v="25"/>
    <x v="1"/>
    <x v="25"/>
    <x v="25"/>
    <x v="19"/>
    <x v="1"/>
    <x v="3"/>
    <x v="25"/>
    <x v="3"/>
    <x v="20"/>
    <x v="11"/>
  </r>
  <r>
    <x v="26"/>
    <x v="1"/>
    <x v="26"/>
    <x v="26"/>
    <x v="19"/>
    <x v="1"/>
    <x v="3"/>
    <x v="26"/>
    <x v="3"/>
    <x v="21"/>
    <x v="11"/>
  </r>
  <r>
    <x v="27"/>
    <x v="1"/>
    <x v="27"/>
    <x v="27"/>
    <x v="19"/>
    <x v="1"/>
    <x v="3"/>
    <x v="27"/>
    <x v="3"/>
    <x v="22"/>
    <x v="11"/>
  </r>
  <r>
    <x v="28"/>
    <x v="2"/>
    <x v="28"/>
    <x v="28"/>
    <x v="20"/>
    <x v="1"/>
    <x v="4"/>
    <x v="28"/>
    <x v="0"/>
    <x v="23"/>
    <x v="12"/>
  </r>
  <r>
    <x v="29"/>
    <x v="3"/>
    <x v="29"/>
    <x v="29"/>
    <x v="21"/>
    <x v="1"/>
    <x v="3"/>
    <x v="29"/>
    <x v="3"/>
    <x v="24"/>
    <x v="11"/>
  </r>
  <r>
    <x v="30"/>
    <x v="3"/>
    <x v="30"/>
    <x v="30"/>
    <x v="22"/>
    <x v="1"/>
    <x v="2"/>
    <x v="30"/>
    <x v="1"/>
    <x v="25"/>
    <x v="13"/>
  </r>
  <r>
    <x v="31"/>
    <x v="2"/>
    <x v="31"/>
    <x v="31"/>
    <x v="22"/>
    <x v="1"/>
    <x v="4"/>
    <x v="31"/>
    <x v="3"/>
    <x v="26"/>
    <x v="11"/>
  </r>
  <r>
    <x v="32"/>
    <x v="1"/>
    <x v="32"/>
    <x v="32"/>
    <x v="23"/>
    <x v="1"/>
    <x v="3"/>
    <x v="32"/>
    <x v="3"/>
    <x v="27"/>
    <x v="11"/>
  </r>
  <r>
    <x v="33"/>
    <x v="1"/>
    <x v="33"/>
    <x v="33"/>
    <x v="23"/>
    <x v="1"/>
    <x v="3"/>
    <x v="33"/>
    <x v="1"/>
    <x v="28"/>
    <x v="14"/>
  </r>
  <r>
    <x v="34"/>
    <x v="1"/>
    <x v="34"/>
    <x v="34"/>
    <x v="24"/>
    <x v="1"/>
    <x v="3"/>
    <x v="34"/>
    <x v="0"/>
    <x v="29"/>
    <x v="14"/>
  </r>
  <r>
    <x v="35"/>
    <x v="1"/>
    <x v="35"/>
    <x v="35"/>
    <x v="24"/>
    <x v="1"/>
    <x v="3"/>
    <x v="35"/>
    <x v="1"/>
    <x v="30"/>
    <x v="14"/>
  </r>
  <r>
    <x v="36"/>
    <x v="1"/>
    <x v="36"/>
    <x v="36"/>
    <x v="24"/>
    <x v="1"/>
    <x v="3"/>
    <x v="36"/>
    <x v="2"/>
    <x v="22"/>
    <x v="15"/>
  </r>
  <r>
    <x v="37"/>
    <x v="1"/>
    <x v="37"/>
    <x v="37"/>
    <x v="24"/>
    <x v="1"/>
    <x v="3"/>
    <x v="37"/>
    <x v="3"/>
    <x v="22"/>
    <x v="11"/>
  </r>
  <r>
    <x v="38"/>
    <x v="1"/>
    <x v="38"/>
    <x v="38"/>
    <x v="25"/>
    <x v="1"/>
    <x v="3"/>
    <x v="38"/>
    <x v="1"/>
    <x v="31"/>
    <x v="14"/>
  </r>
  <r>
    <x v="39"/>
    <x v="1"/>
    <x v="39"/>
    <x v="39"/>
    <x v="26"/>
    <x v="1"/>
    <x v="3"/>
    <x v="7"/>
    <x v="1"/>
    <x v="32"/>
    <x v="14"/>
  </r>
  <r>
    <x v="40"/>
    <x v="3"/>
    <x v="40"/>
    <x v="40"/>
    <x v="27"/>
    <x v="1"/>
    <x v="2"/>
    <x v="39"/>
    <x v="1"/>
    <x v="33"/>
    <x v="16"/>
  </r>
  <r>
    <x v="41"/>
    <x v="3"/>
    <x v="41"/>
    <x v="41"/>
    <x v="27"/>
    <x v="1"/>
    <x v="2"/>
    <x v="40"/>
    <x v="1"/>
    <x v="34"/>
    <x v="16"/>
  </r>
  <r>
    <x v="42"/>
    <x v="3"/>
    <x v="42"/>
    <x v="42"/>
    <x v="27"/>
    <x v="1"/>
    <x v="2"/>
    <x v="41"/>
    <x v="1"/>
    <x v="34"/>
    <x v="16"/>
  </r>
  <r>
    <x v="43"/>
    <x v="3"/>
    <x v="43"/>
    <x v="43"/>
    <x v="27"/>
    <x v="1"/>
    <x v="2"/>
    <x v="36"/>
    <x v="0"/>
    <x v="35"/>
    <x v="10"/>
  </r>
  <r>
    <x v="44"/>
    <x v="3"/>
    <x v="44"/>
    <x v="44"/>
    <x v="27"/>
    <x v="1"/>
    <x v="2"/>
    <x v="42"/>
    <x v="1"/>
    <x v="34"/>
    <x v="16"/>
  </r>
  <r>
    <x v="45"/>
    <x v="3"/>
    <x v="45"/>
    <x v="45"/>
    <x v="27"/>
    <x v="1"/>
    <x v="2"/>
    <x v="43"/>
    <x v="1"/>
    <x v="36"/>
    <x v="16"/>
  </r>
  <r>
    <x v="46"/>
    <x v="3"/>
    <x v="46"/>
    <x v="46"/>
    <x v="27"/>
    <x v="1"/>
    <x v="2"/>
    <x v="44"/>
    <x v="1"/>
    <x v="37"/>
    <x v="16"/>
  </r>
  <r>
    <x v="47"/>
    <x v="3"/>
    <x v="47"/>
    <x v="47"/>
    <x v="27"/>
    <x v="1"/>
    <x v="2"/>
    <x v="33"/>
    <x v="1"/>
    <x v="38"/>
    <x v="16"/>
  </r>
  <r>
    <x v="48"/>
    <x v="3"/>
    <x v="48"/>
    <x v="48"/>
    <x v="27"/>
    <x v="1"/>
    <x v="2"/>
    <x v="45"/>
    <x v="1"/>
    <x v="39"/>
    <x v="16"/>
  </r>
  <r>
    <x v="49"/>
    <x v="3"/>
    <x v="49"/>
    <x v="49"/>
    <x v="27"/>
    <x v="1"/>
    <x v="2"/>
    <x v="46"/>
    <x v="1"/>
    <x v="40"/>
    <x v="16"/>
  </r>
  <r>
    <x v="50"/>
    <x v="3"/>
    <x v="50"/>
    <x v="50"/>
    <x v="27"/>
    <x v="1"/>
    <x v="2"/>
    <x v="47"/>
    <x v="1"/>
    <x v="41"/>
    <x v="16"/>
  </r>
  <r>
    <x v="51"/>
    <x v="3"/>
    <x v="51"/>
    <x v="51"/>
    <x v="27"/>
    <x v="1"/>
    <x v="2"/>
    <x v="48"/>
    <x v="1"/>
    <x v="42"/>
    <x v="16"/>
  </r>
  <r>
    <x v="52"/>
    <x v="3"/>
    <x v="52"/>
    <x v="52"/>
    <x v="27"/>
    <x v="1"/>
    <x v="2"/>
    <x v="49"/>
    <x v="1"/>
    <x v="43"/>
    <x v="16"/>
  </r>
  <r>
    <x v="53"/>
    <x v="1"/>
    <x v="53"/>
    <x v="53"/>
    <x v="28"/>
    <x v="1"/>
    <x v="3"/>
    <x v="50"/>
    <x v="3"/>
    <x v="22"/>
    <x v="11"/>
  </r>
  <r>
    <x v="54"/>
    <x v="1"/>
    <x v="54"/>
    <x v="54"/>
    <x v="28"/>
    <x v="1"/>
    <x v="3"/>
    <x v="45"/>
    <x v="1"/>
    <x v="44"/>
    <x v="14"/>
  </r>
  <r>
    <x v="55"/>
    <x v="1"/>
    <x v="55"/>
    <x v="55"/>
    <x v="28"/>
    <x v="1"/>
    <x v="3"/>
    <x v="51"/>
    <x v="1"/>
    <x v="45"/>
    <x v="14"/>
  </r>
  <r>
    <x v="56"/>
    <x v="1"/>
    <x v="56"/>
    <x v="56"/>
    <x v="29"/>
    <x v="1"/>
    <x v="3"/>
    <x v="32"/>
    <x v="3"/>
    <x v="46"/>
    <x v="11"/>
  </r>
  <r>
    <x v="57"/>
    <x v="1"/>
    <x v="57"/>
    <x v="57"/>
    <x v="29"/>
    <x v="1"/>
    <x v="3"/>
    <x v="52"/>
    <x v="1"/>
    <x v="28"/>
    <x v="14"/>
  </r>
  <r>
    <x v="58"/>
    <x v="1"/>
    <x v="58"/>
    <x v="58"/>
    <x v="30"/>
    <x v="1"/>
    <x v="3"/>
    <x v="53"/>
    <x v="1"/>
    <x v="47"/>
    <x v="14"/>
  </r>
  <r>
    <x v="59"/>
    <x v="3"/>
    <x v="59"/>
    <x v="59"/>
    <x v="31"/>
    <x v="1"/>
    <x v="2"/>
    <x v="54"/>
    <x v="0"/>
    <x v="48"/>
    <x v="17"/>
  </r>
  <r>
    <x v="60"/>
    <x v="3"/>
    <x v="60"/>
    <x v="60"/>
    <x v="32"/>
    <x v="1"/>
    <x v="2"/>
    <x v="55"/>
    <x v="0"/>
    <x v="49"/>
    <x v="10"/>
  </r>
  <r>
    <x v="61"/>
    <x v="1"/>
    <x v="61"/>
    <x v="61"/>
    <x v="33"/>
    <x v="1"/>
    <x v="5"/>
    <x v="56"/>
    <x v="0"/>
    <x v="50"/>
    <x v="18"/>
  </r>
  <r>
    <x v="62"/>
    <x v="1"/>
    <x v="62"/>
    <x v="62"/>
    <x v="34"/>
    <x v="1"/>
    <x v="3"/>
    <x v="57"/>
    <x v="0"/>
    <x v="51"/>
    <x v="14"/>
  </r>
  <r>
    <x v="63"/>
    <x v="1"/>
    <x v="63"/>
    <x v="63"/>
    <x v="2"/>
    <x v="1"/>
    <x v="5"/>
    <x v="58"/>
    <x v="0"/>
    <x v="52"/>
    <x v="14"/>
  </r>
  <r>
    <x v="64"/>
    <x v="1"/>
    <x v="64"/>
    <x v="64"/>
    <x v="35"/>
    <x v="1"/>
    <x v="5"/>
    <x v="59"/>
    <x v="1"/>
    <x v="53"/>
    <x v="19"/>
  </r>
  <r>
    <x v="65"/>
    <x v="4"/>
    <x v="65"/>
    <x v="65"/>
    <x v="36"/>
    <x v="1"/>
    <x v="3"/>
    <x v="60"/>
    <x v="1"/>
    <x v="54"/>
    <x v="14"/>
  </r>
  <r>
    <x v="66"/>
    <x v="1"/>
    <x v="66"/>
    <x v="66"/>
    <x v="37"/>
    <x v="1"/>
    <x v="3"/>
    <x v="61"/>
    <x v="1"/>
    <x v="55"/>
    <x v="14"/>
  </r>
  <r>
    <x v="67"/>
    <x v="3"/>
    <x v="67"/>
    <x v="67"/>
    <x v="38"/>
    <x v="1"/>
    <x v="2"/>
    <x v="62"/>
    <x v="1"/>
    <x v="56"/>
    <x v="20"/>
  </r>
  <r>
    <x v="68"/>
    <x v="3"/>
    <x v="68"/>
    <x v="68"/>
    <x v="39"/>
    <x v="1"/>
    <x v="2"/>
    <x v="63"/>
    <x v="3"/>
    <x v="57"/>
    <x v="11"/>
  </r>
  <r>
    <x v="69"/>
    <x v="3"/>
    <x v="69"/>
    <x v="69"/>
    <x v="39"/>
    <x v="1"/>
    <x v="2"/>
    <x v="64"/>
    <x v="1"/>
    <x v="58"/>
    <x v="21"/>
  </r>
  <r>
    <x v="70"/>
    <x v="1"/>
    <x v="70"/>
    <x v="70"/>
    <x v="40"/>
    <x v="1"/>
    <x v="5"/>
    <x v="65"/>
    <x v="1"/>
    <x v="45"/>
    <x v="19"/>
  </r>
  <r>
    <x v="71"/>
    <x v="1"/>
    <x v="71"/>
    <x v="71"/>
    <x v="41"/>
    <x v="1"/>
    <x v="5"/>
    <x v="66"/>
    <x v="2"/>
    <x v="45"/>
    <x v="19"/>
  </r>
  <r>
    <x v="72"/>
    <x v="1"/>
    <x v="72"/>
    <x v="72"/>
    <x v="42"/>
    <x v="1"/>
    <x v="5"/>
    <x v="67"/>
    <x v="1"/>
    <x v="59"/>
    <x v="19"/>
  </r>
  <r>
    <x v="73"/>
    <x v="0"/>
    <x v="73"/>
    <x v="73"/>
    <x v="43"/>
    <x v="1"/>
    <x v="1"/>
    <x v="68"/>
    <x v="1"/>
    <x v="60"/>
    <x v="19"/>
  </r>
  <r>
    <x v="74"/>
    <x v="1"/>
    <x v="74"/>
    <x v="74"/>
    <x v="44"/>
    <x v="1"/>
    <x v="5"/>
    <x v="51"/>
    <x v="0"/>
    <x v="45"/>
    <x v="19"/>
  </r>
  <r>
    <x v="75"/>
    <x v="1"/>
    <x v="75"/>
    <x v="75"/>
    <x v="45"/>
    <x v="1"/>
    <x v="5"/>
    <x v="69"/>
    <x v="1"/>
    <x v="61"/>
    <x v="22"/>
  </r>
  <r>
    <x v="76"/>
    <x v="1"/>
    <x v="76"/>
    <x v="76"/>
    <x v="46"/>
    <x v="1"/>
    <x v="5"/>
    <x v="37"/>
    <x v="2"/>
    <x v="22"/>
    <x v="19"/>
  </r>
  <r>
    <x v="77"/>
    <x v="1"/>
    <x v="77"/>
    <x v="77"/>
    <x v="46"/>
    <x v="1"/>
    <x v="5"/>
    <x v="70"/>
    <x v="1"/>
    <x v="62"/>
    <x v="19"/>
  </r>
  <r>
    <x v="78"/>
    <x v="1"/>
    <x v="78"/>
    <x v="78"/>
    <x v="46"/>
    <x v="1"/>
    <x v="5"/>
    <x v="71"/>
    <x v="1"/>
    <x v="63"/>
    <x v="19"/>
  </r>
  <r>
    <x v="79"/>
    <x v="1"/>
    <x v="79"/>
    <x v="79"/>
    <x v="46"/>
    <x v="1"/>
    <x v="5"/>
    <x v="72"/>
    <x v="1"/>
    <x v="64"/>
    <x v="23"/>
  </r>
  <r>
    <x v="80"/>
    <x v="1"/>
    <x v="80"/>
    <x v="80"/>
    <x v="46"/>
    <x v="1"/>
    <x v="5"/>
    <x v="73"/>
    <x v="1"/>
    <x v="65"/>
    <x v="19"/>
  </r>
  <r>
    <x v="81"/>
    <x v="1"/>
    <x v="81"/>
    <x v="81"/>
    <x v="46"/>
    <x v="1"/>
    <x v="5"/>
    <x v="74"/>
    <x v="1"/>
    <x v="66"/>
    <x v="19"/>
  </r>
  <r>
    <x v="82"/>
    <x v="1"/>
    <x v="82"/>
    <x v="82"/>
    <x v="47"/>
    <x v="1"/>
    <x v="5"/>
    <x v="75"/>
    <x v="2"/>
    <x v="67"/>
    <x v="19"/>
  </r>
  <r>
    <x v="83"/>
    <x v="1"/>
    <x v="83"/>
    <x v="83"/>
    <x v="48"/>
    <x v="1"/>
    <x v="5"/>
    <x v="76"/>
    <x v="1"/>
    <x v="68"/>
    <x v="14"/>
  </r>
  <r>
    <x v="84"/>
    <x v="1"/>
    <x v="84"/>
    <x v="84"/>
    <x v="49"/>
    <x v="1"/>
    <x v="5"/>
    <x v="77"/>
    <x v="2"/>
    <x v="69"/>
    <x v="19"/>
  </r>
  <r>
    <x v="85"/>
    <x v="1"/>
    <x v="85"/>
    <x v="85"/>
    <x v="49"/>
    <x v="1"/>
    <x v="5"/>
    <x v="78"/>
    <x v="2"/>
    <x v="70"/>
    <x v="19"/>
  </r>
  <r>
    <x v="86"/>
    <x v="1"/>
    <x v="86"/>
    <x v="86"/>
    <x v="49"/>
    <x v="1"/>
    <x v="5"/>
    <x v="75"/>
    <x v="0"/>
    <x v="71"/>
    <x v="14"/>
  </r>
  <r>
    <x v="87"/>
    <x v="0"/>
    <x v="87"/>
    <x v="87"/>
    <x v="49"/>
    <x v="1"/>
    <x v="2"/>
    <x v="79"/>
    <x v="2"/>
    <x v="72"/>
    <x v="24"/>
  </r>
  <r>
    <x v="88"/>
    <x v="1"/>
    <x v="88"/>
    <x v="88"/>
    <x v="50"/>
    <x v="1"/>
    <x v="5"/>
    <x v="80"/>
    <x v="2"/>
    <x v="73"/>
    <x v="25"/>
  </r>
  <r>
    <x v="89"/>
    <x v="1"/>
    <x v="89"/>
    <x v="89"/>
    <x v="51"/>
    <x v="1"/>
    <x v="5"/>
    <x v="52"/>
    <x v="2"/>
    <x v="28"/>
    <x v="25"/>
  </r>
  <r>
    <x v="90"/>
    <x v="1"/>
    <x v="90"/>
    <x v="90"/>
    <x v="52"/>
    <x v="1"/>
    <x v="5"/>
    <x v="81"/>
    <x v="0"/>
    <x v="74"/>
    <x v="14"/>
  </r>
  <r>
    <x v="91"/>
    <x v="3"/>
    <x v="91"/>
    <x v="91"/>
    <x v="52"/>
    <x v="1"/>
    <x v="2"/>
    <x v="82"/>
    <x v="1"/>
    <x v="75"/>
    <x v="26"/>
  </r>
  <r>
    <x v="92"/>
    <x v="1"/>
    <x v="92"/>
    <x v="92"/>
    <x v="53"/>
    <x v="1"/>
    <x v="5"/>
    <x v="83"/>
    <x v="2"/>
    <x v="76"/>
    <x v="27"/>
  </r>
  <r>
    <x v="93"/>
    <x v="1"/>
    <x v="93"/>
    <x v="93"/>
    <x v="53"/>
    <x v="1"/>
    <x v="5"/>
    <x v="65"/>
    <x v="1"/>
    <x v="45"/>
    <x v="19"/>
  </r>
  <r>
    <x v="94"/>
    <x v="0"/>
    <x v="94"/>
    <x v="94"/>
    <x v="54"/>
    <x v="1"/>
    <x v="1"/>
    <x v="84"/>
    <x v="2"/>
    <x v="77"/>
    <x v="28"/>
  </r>
  <r>
    <x v="95"/>
    <x v="0"/>
    <x v="95"/>
    <x v="95"/>
    <x v="55"/>
    <x v="1"/>
    <x v="1"/>
    <x v="85"/>
    <x v="2"/>
    <x v="78"/>
    <x v="28"/>
  </r>
  <r>
    <x v="96"/>
    <x v="1"/>
    <x v="96"/>
    <x v="96"/>
    <x v="56"/>
    <x v="1"/>
    <x v="5"/>
    <x v="86"/>
    <x v="2"/>
    <x v="30"/>
    <x v="27"/>
  </r>
  <r>
    <x v="97"/>
    <x v="3"/>
    <x v="97"/>
    <x v="97"/>
    <x v="57"/>
    <x v="1"/>
    <x v="2"/>
    <x v="87"/>
    <x v="2"/>
    <x v="79"/>
    <x v="26"/>
  </r>
  <r>
    <x v="98"/>
    <x v="1"/>
    <x v="98"/>
    <x v="98"/>
    <x v="58"/>
    <x v="1"/>
    <x v="5"/>
    <x v="88"/>
    <x v="2"/>
    <x v="45"/>
    <x v="25"/>
  </r>
  <r>
    <x v="99"/>
    <x v="1"/>
    <x v="99"/>
    <x v="99"/>
    <x v="59"/>
    <x v="1"/>
    <x v="5"/>
    <x v="89"/>
    <x v="2"/>
    <x v="80"/>
    <x v="25"/>
  </r>
  <r>
    <x v="100"/>
    <x v="1"/>
    <x v="100"/>
    <x v="100"/>
    <x v="60"/>
    <x v="1"/>
    <x v="5"/>
    <x v="90"/>
    <x v="2"/>
    <x v="81"/>
    <x v="25"/>
  </r>
  <r>
    <x v="101"/>
    <x v="1"/>
    <x v="101"/>
    <x v="101"/>
    <x v="17"/>
    <x v="1"/>
    <x v="5"/>
    <x v="91"/>
    <x v="2"/>
    <x v="82"/>
    <x v="29"/>
  </r>
  <r>
    <x v="102"/>
    <x v="3"/>
    <x v="102"/>
    <x v="102"/>
    <x v="17"/>
    <x v="1"/>
    <x v="2"/>
    <x v="92"/>
    <x v="2"/>
    <x v="83"/>
    <x v="26"/>
  </r>
  <r>
    <x v="103"/>
    <x v="1"/>
    <x v="103"/>
    <x v="103"/>
    <x v="61"/>
    <x v="1"/>
    <x v="3"/>
    <x v="93"/>
    <x v="2"/>
    <x v="84"/>
    <x v="30"/>
  </r>
  <r>
    <x v="104"/>
    <x v="1"/>
    <x v="104"/>
    <x v="104"/>
    <x v="62"/>
    <x v="1"/>
    <x v="5"/>
    <x v="25"/>
    <x v="2"/>
    <x v="85"/>
    <x v="25"/>
  </r>
  <r>
    <x v="105"/>
    <x v="1"/>
    <x v="105"/>
    <x v="105"/>
    <x v="62"/>
    <x v="1"/>
    <x v="5"/>
    <x v="94"/>
    <x v="2"/>
    <x v="86"/>
    <x v="25"/>
  </r>
  <r>
    <x v="106"/>
    <x v="1"/>
    <x v="106"/>
    <x v="106"/>
    <x v="63"/>
    <x v="1"/>
    <x v="5"/>
    <x v="95"/>
    <x v="2"/>
    <x v="87"/>
    <x v="25"/>
  </r>
  <r>
    <x v="107"/>
    <x v="1"/>
    <x v="107"/>
    <x v="107"/>
    <x v="63"/>
    <x v="1"/>
    <x v="5"/>
    <x v="96"/>
    <x v="2"/>
    <x v="88"/>
    <x v="25"/>
  </r>
  <r>
    <x v="108"/>
    <x v="1"/>
    <x v="108"/>
    <x v="108"/>
    <x v="63"/>
    <x v="1"/>
    <x v="5"/>
    <x v="97"/>
    <x v="2"/>
    <x v="89"/>
    <x v="25"/>
  </r>
  <r>
    <x v="109"/>
    <x v="1"/>
    <x v="109"/>
    <x v="109"/>
    <x v="63"/>
    <x v="1"/>
    <x v="5"/>
    <x v="98"/>
    <x v="2"/>
    <x v="90"/>
    <x v="25"/>
  </r>
  <r>
    <x v="110"/>
    <x v="1"/>
    <x v="110"/>
    <x v="110"/>
    <x v="64"/>
    <x v="1"/>
    <x v="5"/>
    <x v="99"/>
    <x v="1"/>
    <x v="22"/>
    <x v="19"/>
  </r>
  <r>
    <x v="111"/>
    <x v="1"/>
    <x v="111"/>
    <x v="111"/>
    <x v="65"/>
    <x v="2"/>
    <x v="5"/>
    <x v="100"/>
    <x v="0"/>
    <x v="91"/>
    <x v="14"/>
  </r>
  <r>
    <x v="112"/>
    <x v="0"/>
    <x v="112"/>
    <x v="112"/>
    <x v="66"/>
    <x v="2"/>
    <x v="2"/>
    <x v="101"/>
    <x v="3"/>
    <x v="92"/>
    <x v="11"/>
  </r>
  <r>
    <x v="113"/>
    <x v="2"/>
    <x v="113"/>
    <x v="113"/>
    <x v="66"/>
    <x v="2"/>
    <x v="3"/>
    <x v="102"/>
    <x v="0"/>
    <x v="93"/>
    <x v="14"/>
  </r>
  <r>
    <x v="114"/>
    <x v="2"/>
    <x v="114"/>
    <x v="114"/>
    <x v="66"/>
    <x v="2"/>
    <x v="4"/>
    <x v="103"/>
    <x v="3"/>
    <x v="94"/>
    <x v="11"/>
  </r>
  <r>
    <x v="115"/>
    <x v="2"/>
    <x v="115"/>
    <x v="115"/>
    <x v="66"/>
    <x v="2"/>
    <x v="4"/>
    <x v="104"/>
    <x v="3"/>
    <x v="95"/>
    <x v="11"/>
  </r>
  <r>
    <x v="116"/>
    <x v="2"/>
    <x v="116"/>
    <x v="116"/>
    <x v="66"/>
    <x v="2"/>
    <x v="4"/>
    <x v="105"/>
    <x v="3"/>
    <x v="96"/>
    <x v="11"/>
  </r>
  <r>
    <x v="117"/>
    <x v="0"/>
    <x v="117"/>
    <x v="117"/>
    <x v="67"/>
    <x v="2"/>
    <x v="0"/>
    <x v="106"/>
    <x v="3"/>
    <x v="97"/>
    <x v="11"/>
  </r>
  <r>
    <x v="118"/>
    <x v="2"/>
    <x v="118"/>
    <x v="118"/>
    <x v="20"/>
    <x v="2"/>
    <x v="4"/>
    <x v="107"/>
    <x v="3"/>
    <x v="98"/>
    <x v="11"/>
  </r>
  <r>
    <x v="119"/>
    <x v="0"/>
    <x v="119"/>
    <x v="119"/>
    <x v="68"/>
    <x v="2"/>
    <x v="5"/>
    <x v="108"/>
    <x v="0"/>
    <x v="99"/>
    <x v="14"/>
  </r>
  <r>
    <x v="120"/>
    <x v="0"/>
    <x v="120"/>
    <x v="120"/>
    <x v="22"/>
    <x v="2"/>
    <x v="1"/>
    <x v="109"/>
    <x v="3"/>
    <x v="100"/>
    <x v="11"/>
  </r>
  <r>
    <x v="121"/>
    <x v="0"/>
    <x v="121"/>
    <x v="121"/>
    <x v="22"/>
    <x v="2"/>
    <x v="2"/>
    <x v="29"/>
    <x v="0"/>
    <x v="101"/>
    <x v="31"/>
  </r>
  <r>
    <x v="122"/>
    <x v="0"/>
    <x v="122"/>
    <x v="122"/>
    <x v="0"/>
    <x v="2"/>
    <x v="6"/>
    <x v="110"/>
    <x v="0"/>
    <x v="102"/>
    <x v="14"/>
  </r>
  <r>
    <x v="123"/>
    <x v="2"/>
    <x v="123"/>
    <x v="123"/>
    <x v="69"/>
    <x v="2"/>
    <x v="1"/>
    <x v="111"/>
    <x v="0"/>
    <x v="103"/>
    <x v="32"/>
  </r>
  <r>
    <x v="124"/>
    <x v="2"/>
    <x v="124"/>
    <x v="124"/>
    <x v="70"/>
    <x v="2"/>
    <x v="6"/>
    <x v="112"/>
    <x v="3"/>
    <x v="104"/>
    <x v="11"/>
  </r>
  <r>
    <x v="125"/>
    <x v="0"/>
    <x v="125"/>
    <x v="125"/>
    <x v="71"/>
    <x v="2"/>
    <x v="1"/>
    <x v="113"/>
    <x v="1"/>
    <x v="105"/>
    <x v="33"/>
  </r>
  <r>
    <x v="126"/>
    <x v="2"/>
    <x v="126"/>
    <x v="126"/>
    <x v="72"/>
    <x v="2"/>
    <x v="4"/>
    <x v="114"/>
    <x v="3"/>
    <x v="106"/>
    <x v="11"/>
  </r>
  <r>
    <x v="127"/>
    <x v="0"/>
    <x v="127"/>
    <x v="127"/>
    <x v="73"/>
    <x v="2"/>
    <x v="6"/>
    <x v="115"/>
    <x v="2"/>
    <x v="107"/>
    <x v="34"/>
  </r>
  <r>
    <x v="128"/>
    <x v="0"/>
    <x v="128"/>
    <x v="128"/>
    <x v="73"/>
    <x v="2"/>
    <x v="6"/>
    <x v="116"/>
    <x v="3"/>
    <x v="108"/>
    <x v="11"/>
  </r>
  <r>
    <x v="129"/>
    <x v="0"/>
    <x v="129"/>
    <x v="129"/>
    <x v="73"/>
    <x v="2"/>
    <x v="1"/>
    <x v="117"/>
    <x v="3"/>
    <x v="109"/>
    <x v="11"/>
  </r>
  <r>
    <x v="130"/>
    <x v="3"/>
    <x v="130"/>
    <x v="130"/>
    <x v="74"/>
    <x v="2"/>
    <x v="2"/>
    <x v="118"/>
    <x v="1"/>
    <x v="110"/>
    <x v="10"/>
  </r>
  <r>
    <x v="131"/>
    <x v="0"/>
    <x v="131"/>
    <x v="131"/>
    <x v="24"/>
    <x v="2"/>
    <x v="0"/>
    <x v="119"/>
    <x v="3"/>
    <x v="111"/>
    <x v="11"/>
  </r>
  <r>
    <x v="132"/>
    <x v="0"/>
    <x v="132"/>
    <x v="132"/>
    <x v="75"/>
    <x v="2"/>
    <x v="6"/>
    <x v="120"/>
    <x v="3"/>
    <x v="112"/>
    <x v="11"/>
  </r>
  <r>
    <x v="133"/>
    <x v="0"/>
    <x v="133"/>
    <x v="133"/>
    <x v="76"/>
    <x v="2"/>
    <x v="2"/>
    <x v="121"/>
    <x v="0"/>
    <x v="113"/>
    <x v="31"/>
  </r>
  <r>
    <x v="134"/>
    <x v="0"/>
    <x v="134"/>
    <x v="134"/>
    <x v="29"/>
    <x v="2"/>
    <x v="4"/>
    <x v="122"/>
    <x v="1"/>
    <x v="114"/>
    <x v="35"/>
  </r>
  <r>
    <x v="135"/>
    <x v="2"/>
    <x v="135"/>
    <x v="135"/>
    <x v="29"/>
    <x v="2"/>
    <x v="4"/>
    <x v="123"/>
    <x v="0"/>
    <x v="115"/>
    <x v="36"/>
  </r>
  <r>
    <x v="136"/>
    <x v="2"/>
    <x v="136"/>
    <x v="136"/>
    <x v="77"/>
    <x v="2"/>
    <x v="4"/>
    <x v="124"/>
    <x v="3"/>
    <x v="116"/>
    <x v="11"/>
  </r>
  <r>
    <x v="137"/>
    <x v="2"/>
    <x v="137"/>
    <x v="137"/>
    <x v="77"/>
    <x v="2"/>
    <x v="4"/>
    <x v="125"/>
    <x v="3"/>
    <x v="117"/>
    <x v="11"/>
  </r>
  <r>
    <x v="138"/>
    <x v="0"/>
    <x v="138"/>
    <x v="138"/>
    <x v="78"/>
    <x v="2"/>
    <x v="1"/>
    <x v="126"/>
    <x v="1"/>
    <x v="118"/>
    <x v="37"/>
  </r>
  <r>
    <x v="139"/>
    <x v="2"/>
    <x v="139"/>
    <x v="139"/>
    <x v="79"/>
    <x v="2"/>
    <x v="1"/>
    <x v="127"/>
    <x v="1"/>
    <x v="119"/>
    <x v="38"/>
  </r>
  <r>
    <x v="140"/>
    <x v="0"/>
    <x v="140"/>
    <x v="140"/>
    <x v="80"/>
    <x v="2"/>
    <x v="6"/>
    <x v="128"/>
    <x v="2"/>
    <x v="120"/>
    <x v="13"/>
  </r>
  <r>
    <x v="141"/>
    <x v="2"/>
    <x v="141"/>
    <x v="141"/>
    <x v="30"/>
    <x v="2"/>
    <x v="6"/>
    <x v="129"/>
    <x v="2"/>
    <x v="121"/>
    <x v="13"/>
  </r>
  <r>
    <x v="142"/>
    <x v="0"/>
    <x v="142"/>
    <x v="142"/>
    <x v="30"/>
    <x v="2"/>
    <x v="4"/>
    <x v="112"/>
    <x v="1"/>
    <x v="122"/>
    <x v="39"/>
  </r>
  <r>
    <x v="143"/>
    <x v="0"/>
    <x v="143"/>
    <x v="143"/>
    <x v="81"/>
    <x v="2"/>
    <x v="5"/>
    <x v="39"/>
    <x v="1"/>
    <x v="123"/>
    <x v="19"/>
  </r>
  <r>
    <x v="144"/>
    <x v="0"/>
    <x v="144"/>
    <x v="144"/>
    <x v="81"/>
    <x v="2"/>
    <x v="5"/>
    <x v="130"/>
    <x v="1"/>
    <x v="123"/>
    <x v="40"/>
  </r>
  <r>
    <x v="145"/>
    <x v="0"/>
    <x v="145"/>
    <x v="145"/>
    <x v="32"/>
    <x v="2"/>
    <x v="4"/>
    <x v="131"/>
    <x v="1"/>
    <x v="124"/>
    <x v="41"/>
  </r>
  <r>
    <x v="146"/>
    <x v="0"/>
    <x v="146"/>
    <x v="146"/>
    <x v="82"/>
    <x v="2"/>
    <x v="1"/>
    <x v="132"/>
    <x v="1"/>
    <x v="125"/>
    <x v="33"/>
  </r>
  <r>
    <x v="147"/>
    <x v="0"/>
    <x v="147"/>
    <x v="147"/>
    <x v="82"/>
    <x v="2"/>
    <x v="0"/>
    <x v="88"/>
    <x v="2"/>
    <x v="126"/>
    <x v="38"/>
  </r>
  <r>
    <x v="148"/>
    <x v="2"/>
    <x v="148"/>
    <x v="148"/>
    <x v="82"/>
    <x v="2"/>
    <x v="4"/>
    <x v="133"/>
    <x v="3"/>
    <x v="127"/>
    <x v="11"/>
  </r>
  <r>
    <x v="149"/>
    <x v="2"/>
    <x v="149"/>
    <x v="149"/>
    <x v="83"/>
    <x v="2"/>
    <x v="4"/>
    <x v="134"/>
    <x v="3"/>
    <x v="128"/>
    <x v="11"/>
  </r>
  <r>
    <x v="150"/>
    <x v="0"/>
    <x v="150"/>
    <x v="150"/>
    <x v="3"/>
    <x v="2"/>
    <x v="2"/>
    <x v="135"/>
    <x v="0"/>
    <x v="129"/>
    <x v="10"/>
  </r>
  <r>
    <x v="151"/>
    <x v="0"/>
    <x v="151"/>
    <x v="151"/>
    <x v="84"/>
    <x v="2"/>
    <x v="1"/>
    <x v="136"/>
    <x v="3"/>
    <x v="130"/>
    <x v="11"/>
  </r>
  <r>
    <x v="152"/>
    <x v="0"/>
    <x v="152"/>
    <x v="152"/>
    <x v="84"/>
    <x v="2"/>
    <x v="1"/>
    <x v="127"/>
    <x v="1"/>
    <x v="131"/>
    <x v="38"/>
  </r>
  <r>
    <x v="153"/>
    <x v="0"/>
    <x v="153"/>
    <x v="153"/>
    <x v="36"/>
    <x v="2"/>
    <x v="1"/>
    <x v="137"/>
    <x v="0"/>
    <x v="132"/>
    <x v="32"/>
  </r>
  <r>
    <x v="154"/>
    <x v="2"/>
    <x v="154"/>
    <x v="154"/>
    <x v="85"/>
    <x v="2"/>
    <x v="6"/>
    <x v="138"/>
    <x v="2"/>
    <x v="133"/>
    <x v="14"/>
  </r>
  <r>
    <x v="155"/>
    <x v="0"/>
    <x v="155"/>
    <x v="155"/>
    <x v="85"/>
    <x v="2"/>
    <x v="1"/>
    <x v="139"/>
    <x v="1"/>
    <x v="134"/>
    <x v="42"/>
  </r>
  <r>
    <x v="156"/>
    <x v="2"/>
    <x v="156"/>
    <x v="156"/>
    <x v="37"/>
    <x v="2"/>
    <x v="6"/>
    <x v="140"/>
    <x v="2"/>
    <x v="135"/>
    <x v="13"/>
  </r>
  <r>
    <x v="157"/>
    <x v="0"/>
    <x v="157"/>
    <x v="157"/>
    <x v="86"/>
    <x v="2"/>
    <x v="4"/>
    <x v="141"/>
    <x v="1"/>
    <x v="136"/>
    <x v="43"/>
  </r>
  <r>
    <x v="158"/>
    <x v="0"/>
    <x v="158"/>
    <x v="158"/>
    <x v="87"/>
    <x v="2"/>
    <x v="3"/>
    <x v="142"/>
    <x v="1"/>
    <x v="137"/>
    <x v="44"/>
  </r>
  <r>
    <x v="159"/>
    <x v="2"/>
    <x v="159"/>
    <x v="159"/>
    <x v="88"/>
    <x v="2"/>
    <x v="1"/>
    <x v="143"/>
    <x v="1"/>
    <x v="138"/>
    <x v="38"/>
  </r>
  <r>
    <x v="160"/>
    <x v="2"/>
    <x v="160"/>
    <x v="160"/>
    <x v="4"/>
    <x v="2"/>
    <x v="2"/>
    <x v="144"/>
    <x v="0"/>
    <x v="139"/>
    <x v="10"/>
  </r>
  <r>
    <x v="161"/>
    <x v="2"/>
    <x v="161"/>
    <x v="161"/>
    <x v="41"/>
    <x v="2"/>
    <x v="2"/>
    <x v="145"/>
    <x v="1"/>
    <x v="140"/>
    <x v="45"/>
  </r>
  <r>
    <x v="162"/>
    <x v="0"/>
    <x v="162"/>
    <x v="162"/>
    <x v="89"/>
    <x v="2"/>
    <x v="1"/>
    <x v="146"/>
    <x v="1"/>
    <x v="141"/>
    <x v="46"/>
  </r>
  <r>
    <x v="163"/>
    <x v="0"/>
    <x v="163"/>
    <x v="163"/>
    <x v="89"/>
    <x v="2"/>
    <x v="0"/>
    <x v="147"/>
    <x v="2"/>
    <x v="142"/>
    <x v="38"/>
  </r>
  <r>
    <x v="164"/>
    <x v="2"/>
    <x v="164"/>
    <x v="164"/>
    <x v="89"/>
    <x v="2"/>
    <x v="4"/>
    <x v="148"/>
    <x v="3"/>
    <x v="143"/>
    <x v="11"/>
  </r>
  <r>
    <x v="165"/>
    <x v="0"/>
    <x v="165"/>
    <x v="165"/>
    <x v="90"/>
    <x v="2"/>
    <x v="2"/>
    <x v="149"/>
    <x v="1"/>
    <x v="144"/>
    <x v="10"/>
  </r>
  <r>
    <x v="166"/>
    <x v="0"/>
    <x v="166"/>
    <x v="166"/>
    <x v="91"/>
    <x v="2"/>
    <x v="6"/>
    <x v="150"/>
    <x v="2"/>
    <x v="145"/>
    <x v="13"/>
  </r>
  <r>
    <x v="167"/>
    <x v="0"/>
    <x v="167"/>
    <x v="167"/>
    <x v="91"/>
    <x v="2"/>
    <x v="1"/>
    <x v="151"/>
    <x v="1"/>
    <x v="146"/>
    <x v="38"/>
  </r>
  <r>
    <x v="168"/>
    <x v="2"/>
    <x v="168"/>
    <x v="168"/>
    <x v="46"/>
    <x v="2"/>
    <x v="2"/>
    <x v="152"/>
    <x v="0"/>
    <x v="147"/>
    <x v="10"/>
  </r>
  <r>
    <x v="169"/>
    <x v="0"/>
    <x v="169"/>
    <x v="169"/>
    <x v="46"/>
    <x v="2"/>
    <x v="5"/>
    <x v="153"/>
    <x v="1"/>
    <x v="148"/>
    <x v="14"/>
  </r>
  <r>
    <x v="170"/>
    <x v="2"/>
    <x v="170"/>
    <x v="170"/>
    <x v="47"/>
    <x v="2"/>
    <x v="6"/>
    <x v="154"/>
    <x v="2"/>
    <x v="149"/>
    <x v="13"/>
  </r>
  <r>
    <x v="171"/>
    <x v="0"/>
    <x v="171"/>
    <x v="171"/>
    <x v="47"/>
    <x v="2"/>
    <x v="6"/>
    <x v="155"/>
    <x v="2"/>
    <x v="150"/>
    <x v="13"/>
  </r>
  <r>
    <x v="172"/>
    <x v="0"/>
    <x v="172"/>
    <x v="172"/>
    <x v="47"/>
    <x v="2"/>
    <x v="6"/>
    <x v="156"/>
    <x v="2"/>
    <x v="151"/>
    <x v="13"/>
  </r>
  <r>
    <x v="173"/>
    <x v="0"/>
    <x v="173"/>
    <x v="173"/>
    <x v="47"/>
    <x v="2"/>
    <x v="6"/>
    <x v="157"/>
    <x v="2"/>
    <x v="152"/>
    <x v="13"/>
  </r>
  <r>
    <x v="174"/>
    <x v="0"/>
    <x v="174"/>
    <x v="174"/>
    <x v="47"/>
    <x v="2"/>
    <x v="6"/>
    <x v="158"/>
    <x v="0"/>
    <x v="153"/>
    <x v="14"/>
  </r>
  <r>
    <x v="175"/>
    <x v="0"/>
    <x v="175"/>
    <x v="175"/>
    <x v="47"/>
    <x v="2"/>
    <x v="6"/>
    <x v="32"/>
    <x v="2"/>
    <x v="154"/>
    <x v="13"/>
  </r>
  <r>
    <x v="176"/>
    <x v="0"/>
    <x v="176"/>
    <x v="176"/>
    <x v="47"/>
    <x v="2"/>
    <x v="6"/>
    <x v="112"/>
    <x v="2"/>
    <x v="155"/>
    <x v="13"/>
  </r>
  <r>
    <x v="177"/>
    <x v="0"/>
    <x v="177"/>
    <x v="177"/>
    <x v="47"/>
    <x v="2"/>
    <x v="6"/>
    <x v="159"/>
    <x v="2"/>
    <x v="156"/>
    <x v="13"/>
  </r>
  <r>
    <x v="178"/>
    <x v="2"/>
    <x v="178"/>
    <x v="178"/>
    <x v="47"/>
    <x v="2"/>
    <x v="6"/>
    <x v="160"/>
    <x v="2"/>
    <x v="157"/>
    <x v="13"/>
  </r>
  <r>
    <x v="179"/>
    <x v="2"/>
    <x v="179"/>
    <x v="179"/>
    <x v="92"/>
    <x v="2"/>
    <x v="6"/>
    <x v="161"/>
    <x v="1"/>
    <x v="158"/>
    <x v="47"/>
  </r>
  <r>
    <x v="180"/>
    <x v="0"/>
    <x v="180"/>
    <x v="180"/>
    <x v="93"/>
    <x v="2"/>
    <x v="6"/>
    <x v="162"/>
    <x v="2"/>
    <x v="159"/>
    <x v="13"/>
  </r>
  <r>
    <x v="181"/>
    <x v="0"/>
    <x v="181"/>
    <x v="181"/>
    <x v="93"/>
    <x v="2"/>
    <x v="5"/>
    <x v="163"/>
    <x v="1"/>
    <x v="160"/>
    <x v="19"/>
  </r>
  <r>
    <x v="182"/>
    <x v="0"/>
    <x v="182"/>
    <x v="182"/>
    <x v="93"/>
    <x v="2"/>
    <x v="2"/>
    <x v="164"/>
    <x v="2"/>
    <x v="161"/>
    <x v="48"/>
  </r>
  <r>
    <x v="183"/>
    <x v="4"/>
    <x v="183"/>
    <x v="183"/>
    <x v="94"/>
    <x v="2"/>
    <x v="6"/>
    <x v="165"/>
    <x v="1"/>
    <x v="162"/>
    <x v="49"/>
  </r>
  <r>
    <x v="184"/>
    <x v="0"/>
    <x v="184"/>
    <x v="184"/>
    <x v="95"/>
    <x v="2"/>
    <x v="1"/>
    <x v="166"/>
    <x v="0"/>
    <x v="163"/>
    <x v="32"/>
  </r>
  <r>
    <x v="185"/>
    <x v="0"/>
    <x v="185"/>
    <x v="185"/>
    <x v="95"/>
    <x v="2"/>
    <x v="3"/>
    <x v="167"/>
    <x v="1"/>
    <x v="164"/>
    <x v="50"/>
  </r>
  <r>
    <x v="186"/>
    <x v="2"/>
    <x v="186"/>
    <x v="186"/>
    <x v="48"/>
    <x v="2"/>
    <x v="6"/>
    <x v="159"/>
    <x v="1"/>
    <x v="165"/>
    <x v="51"/>
  </r>
  <r>
    <x v="187"/>
    <x v="0"/>
    <x v="187"/>
    <x v="187"/>
    <x v="48"/>
    <x v="2"/>
    <x v="1"/>
    <x v="168"/>
    <x v="1"/>
    <x v="166"/>
    <x v="38"/>
  </r>
  <r>
    <x v="188"/>
    <x v="0"/>
    <x v="188"/>
    <x v="188"/>
    <x v="48"/>
    <x v="2"/>
    <x v="1"/>
    <x v="169"/>
    <x v="1"/>
    <x v="167"/>
    <x v="38"/>
  </r>
  <r>
    <x v="189"/>
    <x v="2"/>
    <x v="189"/>
    <x v="189"/>
    <x v="48"/>
    <x v="2"/>
    <x v="4"/>
    <x v="170"/>
    <x v="2"/>
    <x v="168"/>
    <x v="52"/>
  </r>
  <r>
    <x v="190"/>
    <x v="2"/>
    <x v="190"/>
    <x v="190"/>
    <x v="48"/>
    <x v="2"/>
    <x v="4"/>
    <x v="171"/>
    <x v="3"/>
    <x v="169"/>
    <x v="11"/>
  </r>
  <r>
    <x v="191"/>
    <x v="0"/>
    <x v="191"/>
    <x v="191"/>
    <x v="96"/>
    <x v="2"/>
    <x v="1"/>
    <x v="172"/>
    <x v="1"/>
    <x v="170"/>
    <x v="38"/>
  </r>
  <r>
    <x v="192"/>
    <x v="0"/>
    <x v="192"/>
    <x v="192"/>
    <x v="49"/>
    <x v="2"/>
    <x v="1"/>
    <x v="173"/>
    <x v="1"/>
    <x v="171"/>
    <x v="38"/>
  </r>
  <r>
    <x v="193"/>
    <x v="0"/>
    <x v="193"/>
    <x v="193"/>
    <x v="49"/>
    <x v="2"/>
    <x v="1"/>
    <x v="174"/>
    <x v="1"/>
    <x v="172"/>
    <x v="38"/>
  </r>
  <r>
    <x v="194"/>
    <x v="0"/>
    <x v="194"/>
    <x v="194"/>
    <x v="49"/>
    <x v="2"/>
    <x v="1"/>
    <x v="175"/>
    <x v="1"/>
    <x v="173"/>
    <x v="38"/>
  </r>
  <r>
    <x v="195"/>
    <x v="2"/>
    <x v="195"/>
    <x v="195"/>
    <x v="49"/>
    <x v="2"/>
    <x v="1"/>
    <x v="151"/>
    <x v="3"/>
    <x v="174"/>
    <x v="11"/>
  </r>
  <r>
    <x v="196"/>
    <x v="0"/>
    <x v="196"/>
    <x v="196"/>
    <x v="49"/>
    <x v="2"/>
    <x v="0"/>
    <x v="176"/>
    <x v="2"/>
    <x v="175"/>
    <x v="53"/>
  </r>
  <r>
    <x v="197"/>
    <x v="0"/>
    <x v="197"/>
    <x v="197"/>
    <x v="49"/>
    <x v="2"/>
    <x v="0"/>
    <x v="177"/>
    <x v="2"/>
    <x v="176"/>
    <x v="54"/>
  </r>
  <r>
    <x v="198"/>
    <x v="0"/>
    <x v="198"/>
    <x v="198"/>
    <x v="97"/>
    <x v="2"/>
    <x v="5"/>
    <x v="153"/>
    <x v="0"/>
    <x v="177"/>
    <x v="14"/>
  </r>
  <r>
    <x v="199"/>
    <x v="0"/>
    <x v="199"/>
    <x v="199"/>
    <x v="50"/>
    <x v="2"/>
    <x v="1"/>
    <x v="178"/>
    <x v="0"/>
    <x v="178"/>
    <x v="32"/>
  </r>
  <r>
    <x v="200"/>
    <x v="2"/>
    <x v="200"/>
    <x v="200"/>
    <x v="50"/>
    <x v="2"/>
    <x v="4"/>
    <x v="115"/>
    <x v="1"/>
    <x v="179"/>
    <x v="55"/>
  </r>
  <r>
    <x v="201"/>
    <x v="0"/>
    <x v="201"/>
    <x v="201"/>
    <x v="98"/>
    <x v="2"/>
    <x v="1"/>
    <x v="179"/>
    <x v="1"/>
    <x v="180"/>
    <x v="38"/>
  </r>
  <r>
    <x v="202"/>
    <x v="0"/>
    <x v="202"/>
    <x v="202"/>
    <x v="51"/>
    <x v="2"/>
    <x v="1"/>
    <x v="180"/>
    <x v="2"/>
    <x v="181"/>
    <x v="56"/>
  </r>
  <r>
    <x v="203"/>
    <x v="2"/>
    <x v="203"/>
    <x v="203"/>
    <x v="99"/>
    <x v="2"/>
    <x v="3"/>
    <x v="181"/>
    <x v="2"/>
    <x v="182"/>
    <x v="57"/>
  </r>
  <r>
    <x v="204"/>
    <x v="2"/>
    <x v="204"/>
    <x v="204"/>
    <x v="100"/>
    <x v="2"/>
    <x v="2"/>
    <x v="182"/>
    <x v="0"/>
    <x v="183"/>
    <x v="10"/>
  </r>
  <r>
    <x v="205"/>
    <x v="0"/>
    <x v="205"/>
    <x v="205"/>
    <x v="101"/>
    <x v="2"/>
    <x v="5"/>
    <x v="183"/>
    <x v="1"/>
    <x v="184"/>
    <x v="19"/>
  </r>
  <r>
    <x v="206"/>
    <x v="0"/>
    <x v="206"/>
    <x v="206"/>
    <x v="102"/>
    <x v="2"/>
    <x v="1"/>
    <x v="184"/>
    <x v="1"/>
    <x v="185"/>
    <x v="58"/>
  </r>
  <r>
    <x v="207"/>
    <x v="0"/>
    <x v="207"/>
    <x v="207"/>
    <x v="103"/>
    <x v="2"/>
    <x v="1"/>
    <x v="175"/>
    <x v="1"/>
    <x v="186"/>
    <x v="32"/>
  </r>
  <r>
    <x v="208"/>
    <x v="0"/>
    <x v="208"/>
    <x v="208"/>
    <x v="104"/>
    <x v="2"/>
    <x v="4"/>
    <x v="185"/>
    <x v="2"/>
    <x v="187"/>
    <x v="59"/>
  </r>
  <r>
    <x v="209"/>
    <x v="0"/>
    <x v="209"/>
    <x v="209"/>
    <x v="105"/>
    <x v="2"/>
    <x v="4"/>
    <x v="186"/>
    <x v="1"/>
    <x v="188"/>
    <x v="60"/>
  </r>
  <r>
    <x v="210"/>
    <x v="0"/>
    <x v="210"/>
    <x v="210"/>
    <x v="106"/>
    <x v="2"/>
    <x v="4"/>
    <x v="187"/>
    <x v="2"/>
    <x v="189"/>
    <x v="61"/>
  </r>
  <r>
    <x v="211"/>
    <x v="0"/>
    <x v="211"/>
    <x v="211"/>
    <x v="53"/>
    <x v="2"/>
    <x v="4"/>
    <x v="188"/>
    <x v="2"/>
    <x v="190"/>
    <x v="62"/>
  </r>
  <r>
    <x v="212"/>
    <x v="2"/>
    <x v="212"/>
    <x v="212"/>
    <x v="54"/>
    <x v="2"/>
    <x v="4"/>
    <x v="189"/>
    <x v="2"/>
    <x v="191"/>
    <x v="52"/>
  </r>
  <r>
    <x v="213"/>
    <x v="3"/>
    <x v="213"/>
    <x v="213"/>
    <x v="107"/>
    <x v="2"/>
    <x v="1"/>
    <x v="190"/>
    <x v="1"/>
    <x v="192"/>
    <x v="38"/>
  </r>
  <r>
    <x v="214"/>
    <x v="2"/>
    <x v="214"/>
    <x v="214"/>
    <x v="108"/>
    <x v="2"/>
    <x v="4"/>
    <x v="191"/>
    <x v="2"/>
    <x v="193"/>
    <x v="52"/>
  </r>
  <r>
    <x v="215"/>
    <x v="0"/>
    <x v="215"/>
    <x v="215"/>
    <x v="109"/>
    <x v="2"/>
    <x v="4"/>
    <x v="192"/>
    <x v="1"/>
    <x v="194"/>
    <x v="63"/>
  </r>
  <r>
    <x v="216"/>
    <x v="0"/>
    <x v="216"/>
    <x v="216"/>
    <x v="110"/>
    <x v="2"/>
    <x v="6"/>
    <x v="193"/>
    <x v="2"/>
    <x v="195"/>
    <x v="64"/>
  </r>
  <r>
    <x v="217"/>
    <x v="0"/>
    <x v="217"/>
    <x v="217"/>
    <x v="111"/>
    <x v="2"/>
    <x v="5"/>
    <x v="99"/>
    <x v="0"/>
    <x v="196"/>
    <x v="18"/>
  </r>
  <r>
    <x v="218"/>
    <x v="0"/>
    <x v="218"/>
    <x v="218"/>
    <x v="112"/>
    <x v="2"/>
    <x v="2"/>
    <x v="194"/>
    <x v="2"/>
    <x v="197"/>
    <x v="65"/>
  </r>
  <r>
    <x v="219"/>
    <x v="0"/>
    <x v="219"/>
    <x v="219"/>
    <x v="13"/>
    <x v="2"/>
    <x v="5"/>
    <x v="195"/>
    <x v="0"/>
    <x v="198"/>
    <x v="18"/>
  </r>
  <r>
    <x v="220"/>
    <x v="1"/>
    <x v="220"/>
    <x v="220"/>
    <x v="13"/>
    <x v="2"/>
    <x v="5"/>
    <x v="196"/>
    <x v="1"/>
    <x v="199"/>
    <x v="19"/>
  </r>
  <r>
    <x v="221"/>
    <x v="0"/>
    <x v="221"/>
    <x v="221"/>
    <x v="113"/>
    <x v="2"/>
    <x v="0"/>
    <x v="197"/>
    <x v="2"/>
    <x v="200"/>
    <x v="66"/>
  </r>
  <r>
    <x v="222"/>
    <x v="0"/>
    <x v="222"/>
    <x v="222"/>
    <x v="59"/>
    <x v="2"/>
    <x v="4"/>
    <x v="198"/>
    <x v="2"/>
    <x v="201"/>
    <x v="66"/>
  </r>
  <r>
    <x v="223"/>
    <x v="0"/>
    <x v="223"/>
    <x v="223"/>
    <x v="114"/>
    <x v="2"/>
    <x v="2"/>
    <x v="199"/>
    <x v="2"/>
    <x v="202"/>
    <x v="65"/>
  </r>
  <r>
    <x v="224"/>
    <x v="0"/>
    <x v="224"/>
    <x v="224"/>
    <x v="115"/>
    <x v="2"/>
    <x v="5"/>
    <x v="200"/>
    <x v="2"/>
    <x v="203"/>
    <x v="67"/>
  </r>
  <r>
    <x v="225"/>
    <x v="0"/>
    <x v="225"/>
    <x v="225"/>
    <x v="116"/>
    <x v="2"/>
    <x v="5"/>
    <x v="201"/>
    <x v="2"/>
    <x v="204"/>
    <x v="67"/>
  </r>
  <r>
    <x v="226"/>
    <x v="2"/>
    <x v="226"/>
    <x v="226"/>
    <x v="117"/>
    <x v="2"/>
    <x v="1"/>
    <x v="202"/>
    <x v="2"/>
    <x v="205"/>
    <x v="68"/>
  </r>
  <r>
    <x v="227"/>
    <x v="0"/>
    <x v="227"/>
    <x v="227"/>
    <x v="118"/>
    <x v="2"/>
    <x v="3"/>
    <x v="135"/>
    <x v="2"/>
    <x v="206"/>
    <x v="69"/>
  </r>
  <r>
    <x v="228"/>
    <x v="2"/>
    <x v="228"/>
    <x v="228"/>
    <x v="119"/>
    <x v="2"/>
    <x v="3"/>
    <x v="203"/>
    <x v="2"/>
    <x v="207"/>
    <x v="57"/>
  </r>
  <r>
    <x v="229"/>
    <x v="0"/>
    <x v="229"/>
    <x v="229"/>
    <x v="82"/>
    <x v="2"/>
    <x v="6"/>
    <x v="204"/>
    <x v="2"/>
    <x v="208"/>
    <x v="70"/>
  </r>
  <r>
    <x v="230"/>
    <x v="0"/>
    <x v="230"/>
    <x v="230"/>
    <x v="26"/>
    <x v="3"/>
    <x v="0"/>
    <x v="205"/>
    <x v="1"/>
    <x v="209"/>
    <x v="71"/>
  </r>
  <r>
    <x v="231"/>
    <x v="2"/>
    <x v="231"/>
    <x v="231"/>
    <x v="120"/>
    <x v="3"/>
    <x v="4"/>
    <x v="206"/>
    <x v="2"/>
    <x v="210"/>
    <x v="72"/>
  </r>
  <r>
    <x v="232"/>
    <x v="0"/>
    <x v="232"/>
    <x v="232"/>
    <x v="7"/>
    <x v="3"/>
    <x v="6"/>
    <x v="207"/>
    <x v="2"/>
    <x v="211"/>
    <x v="73"/>
  </r>
</pivotCacheRecords>
</file>

<file path=xl/pivotCache/pivotCacheRecords2.xml><?xml version="1.0" encoding="utf-8"?>
<pivotCacheRecords xmlns="http://schemas.openxmlformats.org/spreadsheetml/2006/main" xmlns:r="http://schemas.openxmlformats.org/officeDocument/2006/relationships" count="233">
  <r>
    <x v="0"/>
    <x v="0"/>
    <x v="0"/>
    <x v="0"/>
    <x v="0"/>
    <x v="0"/>
    <x v="0"/>
    <x v="0"/>
    <x v="0"/>
    <x v="0"/>
    <x v="0"/>
    <x v="0"/>
    <x v="0"/>
    <x v="0"/>
    <x v="0"/>
    <x v="0"/>
  </r>
  <r>
    <x v="1"/>
    <x v="0"/>
    <x v="1"/>
    <x v="1"/>
    <x v="1"/>
    <x v="0"/>
    <x v="1"/>
    <x v="1"/>
    <x v="1"/>
    <x v="1"/>
    <x v="1"/>
    <x v="1"/>
    <x v="1"/>
    <x v="1"/>
    <x v="1"/>
    <x v="1"/>
  </r>
  <r>
    <x v="2"/>
    <x v="0"/>
    <x v="2"/>
    <x v="2"/>
    <x v="2"/>
    <x v="0"/>
    <x v="1"/>
    <x v="2"/>
    <x v="1"/>
    <x v="2"/>
    <x v="2"/>
    <x v="1"/>
    <x v="1"/>
    <x v="1"/>
    <x v="1"/>
    <x v="1"/>
  </r>
  <r>
    <x v="3"/>
    <x v="0"/>
    <x v="3"/>
    <x v="3"/>
    <x v="3"/>
    <x v="0"/>
    <x v="1"/>
    <x v="3"/>
    <x v="1"/>
    <x v="3"/>
    <x v="3"/>
    <x v="1"/>
    <x v="1"/>
    <x v="1"/>
    <x v="1"/>
    <x v="1"/>
  </r>
  <r>
    <x v="4"/>
    <x v="0"/>
    <x v="4"/>
    <x v="4"/>
    <x v="4"/>
    <x v="0"/>
    <x v="0"/>
    <x v="4"/>
    <x v="2"/>
    <x v="4"/>
    <x v="4"/>
    <x v="2"/>
    <x v="0"/>
    <x v="2"/>
    <x v="2"/>
    <x v="0"/>
  </r>
  <r>
    <x v="5"/>
    <x v="0"/>
    <x v="5"/>
    <x v="5"/>
    <x v="5"/>
    <x v="0"/>
    <x v="0"/>
    <x v="5"/>
    <x v="0"/>
    <x v="5"/>
    <x v="5"/>
    <x v="1"/>
    <x v="1"/>
    <x v="1"/>
    <x v="1"/>
    <x v="1"/>
  </r>
  <r>
    <x v="6"/>
    <x v="0"/>
    <x v="6"/>
    <x v="6"/>
    <x v="6"/>
    <x v="0"/>
    <x v="0"/>
    <x v="6"/>
    <x v="0"/>
    <x v="6"/>
    <x v="5"/>
    <x v="1"/>
    <x v="1"/>
    <x v="1"/>
    <x v="1"/>
    <x v="1"/>
  </r>
  <r>
    <x v="7"/>
    <x v="0"/>
    <x v="7"/>
    <x v="7"/>
    <x v="7"/>
    <x v="0"/>
    <x v="0"/>
    <x v="7"/>
    <x v="0"/>
    <x v="7"/>
    <x v="5"/>
    <x v="1"/>
    <x v="1"/>
    <x v="1"/>
    <x v="1"/>
    <x v="1"/>
  </r>
  <r>
    <x v="8"/>
    <x v="0"/>
    <x v="8"/>
    <x v="8"/>
    <x v="8"/>
    <x v="0"/>
    <x v="0"/>
    <x v="8"/>
    <x v="0"/>
    <x v="7"/>
    <x v="5"/>
    <x v="1"/>
    <x v="1"/>
    <x v="1"/>
    <x v="1"/>
    <x v="1"/>
  </r>
  <r>
    <x v="9"/>
    <x v="0"/>
    <x v="9"/>
    <x v="9"/>
    <x v="8"/>
    <x v="0"/>
    <x v="0"/>
    <x v="9"/>
    <x v="0"/>
    <x v="8"/>
    <x v="5"/>
    <x v="1"/>
    <x v="1"/>
    <x v="1"/>
    <x v="1"/>
    <x v="1"/>
  </r>
  <r>
    <x v="10"/>
    <x v="0"/>
    <x v="10"/>
    <x v="10"/>
    <x v="9"/>
    <x v="0"/>
    <x v="0"/>
    <x v="10"/>
    <x v="2"/>
    <x v="9"/>
    <x v="5"/>
    <x v="1"/>
    <x v="1"/>
    <x v="1"/>
    <x v="1"/>
    <x v="1"/>
  </r>
  <r>
    <x v="11"/>
    <x v="0"/>
    <x v="11"/>
    <x v="11"/>
    <x v="9"/>
    <x v="0"/>
    <x v="0"/>
    <x v="11"/>
    <x v="1"/>
    <x v="10"/>
    <x v="6"/>
    <x v="1"/>
    <x v="1"/>
    <x v="1"/>
    <x v="1"/>
    <x v="1"/>
  </r>
  <r>
    <x v="12"/>
    <x v="0"/>
    <x v="12"/>
    <x v="12"/>
    <x v="10"/>
    <x v="0"/>
    <x v="0"/>
    <x v="12"/>
    <x v="1"/>
    <x v="7"/>
    <x v="7"/>
    <x v="0"/>
    <x v="0"/>
    <x v="3"/>
    <x v="2"/>
    <x v="0"/>
  </r>
  <r>
    <x v="13"/>
    <x v="0"/>
    <x v="13"/>
    <x v="13"/>
    <x v="11"/>
    <x v="0"/>
    <x v="0"/>
    <x v="13"/>
    <x v="2"/>
    <x v="11"/>
    <x v="7"/>
    <x v="0"/>
    <x v="0"/>
    <x v="4"/>
    <x v="2"/>
    <x v="0"/>
  </r>
  <r>
    <x v="14"/>
    <x v="0"/>
    <x v="14"/>
    <x v="14"/>
    <x v="12"/>
    <x v="0"/>
    <x v="0"/>
    <x v="14"/>
    <x v="1"/>
    <x v="12"/>
    <x v="7"/>
    <x v="1"/>
    <x v="1"/>
    <x v="1"/>
    <x v="1"/>
    <x v="1"/>
  </r>
  <r>
    <x v="15"/>
    <x v="0"/>
    <x v="15"/>
    <x v="15"/>
    <x v="13"/>
    <x v="0"/>
    <x v="0"/>
    <x v="15"/>
    <x v="2"/>
    <x v="13"/>
    <x v="7"/>
    <x v="1"/>
    <x v="1"/>
    <x v="1"/>
    <x v="1"/>
    <x v="1"/>
  </r>
  <r>
    <x v="16"/>
    <x v="0"/>
    <x v="16"/>
    <x v="16"/>
    <x v="14"/>
    <x v="0"/>
    <x v="0"/>
    <x v="16"/>
    <x v="1"/>
    <x v="14"/>
    <x v="7"/>
    <x v="1"/>
    <x v="1"/>
    <x v="1"/>
    <x v="1"/>
    <x v="1"/>
  </r>
  <r>
    <x v="17"/>
    <x v="0"/>
    <x v="17"/>
    <x v="17"/>
    <x v="15"/>
    <x v="0"/>
    <x v="0"/>
    <x v="17"/>
    <x v="2"/>
    <x v="15"/>
    <x v="7"/>
    <x v="1"/>
    <x v="1"/>
    <x v="1"/>
    <x v="1"/>
    <x v="1"/>
  </r>
  <r>
    <x v="18"/>
    <x v="0"/>
    <x v="18"/>
    <x v="18"/>
    <x v="16"/>
    <x v="0"/>
    <x v="0"/>
    <x v="18"/>
    <x v="2"/>
    <x v="16"/>
    <x v="8"/>
    <x v="1"/>
    <x v="1"/>
    <x v="1"/>
    <x v="1"/>
    <x v="1"/>
  </r>
  <r>
    <x v="19"/>
    <x v="0"/>
    <x v="19"/>
    <x v="19"/>
    <x v="16"/>
    <x v="0"/>
    <x v="0"/>
    <x v="19"/>
    <x v="2"/>
    <x v="6"/>
    <x v="7"/>
    <x v="1"/>
    <x v="1"/>
    <x v="1"/>
    <x v="1"/>
    <x v="1"/>
  </r>
  <r>
    <x v="20"/>
    <x v="0"/>
    <x v="20"/>
    <x v="20"/>
    <x v="17"/>
    <x v="0"/>
    <x v="0"/>
    <x v="20"/>
    <x v="2"/>
    <x v="17"/>
    <x v="8"/>
    <x v="1"/>
    <x v="1"/>
    <x v="1"/>
    <x v="1"/>
    <x v="1"/>
  </r>
  <r>
    <x v="21"/>
    <x v="0"/>
    <x v="21"/>
    <x v="21"/>
    <x v="17"/>
    <x v="0"/>
    <x v="0"/>
    <x v="21"/>
    <x v="2"/>
    <x v="8"/>
    <x v="8"/>
    <x v="1"/>
    <x v="1"/>
    <x v="1"/>
    <x v="1"/>
    <x v="1"/>
  </r>
  <r>
    <x v="22"/>
    <x v="0"/>
    <x v="22"/>
    <x v="22"/>
    <x v="17"/>
    <x v="0"/>
    <x v="0"/>
    <x v="22"/>
    <x v="2"/>
    <x v="13"/>
    <x v="8"/>
    <x v="1"/>
    <x v="1"/>
    <x v="1"/>
    <x v="1"/>
    <x v="1"/>
  </r>
  <r>
    <x v="23"/>
    <x v="0"/>
    <x v="23"/>
    <x v="23"/>
    <x v="17"/>
    <x v="0"/>
    <x v="0"/>
    <x v="23"/>
    <x v="2"/>
    <x v="18"/>
    <x v="9"/>
    <x v="1"/>
    <x v="1"/>
    <x v="1"/>
    <x v="1"/>
    <x v="1"/>
  </r>
  <r>
    <x v="24"/>
    <x v="0"/>
    <x v="24"/>
    <x v="24"/>
    <x v="18"/>
    <x v="1"/>
    <x v="2"/>
    <x v="24"/>
    <x v="1"/>
    <x v="19"/>
    <x v="10"/>
    <x v="1"/>
    <x v="1"/>
    <x v="1"/>
    <x v="1"/>
    <x v="1"/>
  </r>
  <r>
    <x v="25"/>
    <x v="1"/>
    <x v="25"/>
    <x v="25"/>
    <x v="19"/>
    <x v="1"/>
    <x v="3"/>
    <x v="25"/>
    <x v="3"/>
    <x v="20"/>
    <x v="11"/>
    <x v="1"/>
    <x v="1"/>
    <x v="1"/>
    <x v="1"/>
    <x v="1"/>
  </r>
  <r>
    <x v="26"/>
    <x v="1"/>
    <x v="26"/>
    <x v="26"/>
    <x v="19"/>
    <x v="1"/>
    <x v="3"/>
    <x v="26"/>
    <x v="3"/>
    <x v="21"/>
    <x v="11"/>
    <x v="1"/>
    <x v="1"/>
    <x v="1"/>
    <x v="1"/>
    <x v="1"/>
  </r>
  <r>
    <x v="27"/>
    <x v="1"/>
    <x v="27"/>
    <x v="27"/>
    <x v="19"/>
    <x v="1"/>
    <x v="3"/>
    <x v="27"/>
    <x v="3"/>
    <x v="22"/>
    <x v="11"/>
    <x v="1"/>
    <x v="1"/>
    <x v="1"/>
    <x v="1"/>
    <x v="1"/>
  </r>
  <r>
    <x v="28"/>
    <x v="1"/>
    <x v="28"/>
    <x v="28"/>
    <x v="20"/>
    <x v="1"/>
    <x v="4"/>
    <x v="28"/>
    <x v="1"/>
    <x v="23"/>
    <x v="12"/>
    <x v="1"/>
    <x v="1"/>
    <x v="1"/>
    <x v="1"/>
    <x v="1"/>
  </r>
  <r>
    <x v="29"/>
    <x v="2"/>
    <x v="29"/>
    <x v="29"/>
    <x v="21"/>
    <x v="1"/>
    <x v="3"/>
    <x v="29"/>
    <x v="3"/>
    <x v="24"/>
    <x v="11"/>
    <x v="1"/>
    <x v="1"/>
    <x v="1"/>
    <x v="1"/>
    <x v="1"/>
  </r>
  <r>
    <x v="30"/>
    <x v="2"/>
    <x v="30"/>
    <x v="30"/>
    <x v="22"/>
    <x v="1"/>
    <x v="2"/>
    <x v="30"/>
    <x v="1"/>
    <x v="25"/>
    <x v="13"/>
    <x v="1"/>
    <x v="1"/>
    <x v="1"/>
    <x v="1"/>
    <x v="1"/>
  </r>
  <r>
    <x v="31"/>
    <x v="3"/>
    <x v="31"/>
    <x v="31"/>
    <x v="22"/>
    <x v="1"/>
    <x v="5"/>
    <x v="31"/>
    <x v="3"/>
    <x v="26"/>
    <x v="11"/>
    <x v="1"/>
    <x v="1"/>
    <x v="1"/>
    <x v="1"/>
    <x v="1"/>
  </r>
  <r>
    <x v="32"/>
    <x v="1"/>
    <x v="32"/>
    <x v="32"/>
    <x v="23"/>
    <x v="1"/>
    <x v="3"/>
    <x v="32"/>
    <x v="3"/>
    <x v="27"/>
    <x v="11"/>
    <x v="1"/>
    <x v="1"/>
    <x v="1"/>
    <x v="1"/>
    <x v="1"/>
  </r>
  <r>
    <x v="33"/>
    <x v="1"/>
    <x v="33"/>
    <x v="33"/>
    <x v="23"/>
    <x v="1"/>
    <x v="3"/>
    <x v="33"/>
    <x v="1"/>
    <x v="28"/>
    <x v="14"/>
    <x v="1"/>
    <x v="1"/>
    <x v="1"/>
    <x v="1"/>
    <x v="1"/>
  </r>
  <r>
    <x v="34"/>
    <x v="1"/>
    <x v="34"/>
    <x v="34"/>
    <x v="24"/>
    <x v="1"/>
    <x v="3"/>
    <x v="34"/>
    <x v="0"/>
    <x v="29"/>
    <x v="14"/>
    <x v="1"/>
    <x v="1"/>
    <x v="1"/>
    <x v="1"/>
    <x v="1"/>
  </r>
  <r>
    <x v="35"/>
    <x v="1"/>
    <x v="35"/>
    <x v="35"/>
    <x v="24"/>
    <x v="1"/>
    <x v="3"/>
    <x v="35"/>
    <x v="1"/>
    <x v="30"/>
    <x v="14"/>
    <x v="1"/>
    <x v="1"/>
    <x v="1"/>
    <x v="1"/>
    <x v="1"/>
  </r>
  <r>
    <x v="36"/>
    <x v="1"/>
    <x v="36"/>
    <x v="36"/>
    <x v="24"/>
    <x v="1"/>
    <x v="3"/>
    <x v="36"/>
    <x v="2"/>
    <x v="22"/>
    <x v="15"/>
    <x v="1"/>
    <x v="1"/>
    <x v="1"/>
    <x v="1"/>
    <x v="1"/>
  </r>
  <r>
    <x v="37"/>
    <x v="1"/>
    <x v="37"/>
    <x v="37"/>
    <x v="24"/>
    <x v="1"/>
    <x v="3"/>
    <x v="37"/>
    <x v="3"/>
    <x v="22"/>
    <x v="11"/>
    <x v="1"/>
    <x v="1"/>
    <x v="1"/>
    <x v="1"/>
    <x v="1"/>
  </r>
  <r>
    <x v="38"/>
    <x v="1"/>
    <x v="38"/>
    <x v="38"/>
    <x v="25"/>
    <x v="1"/>
    <x v="3"/>
    <x v="38"/>
    <x v="1"/>
    <x v="31"/>
    <x v="14"/>
    <x v="1"/>
    <x v="1"/>
    <x v="1"/>
    <x v="1"/>
    <x v="1"/>
  </r>
  <r>
    <x v="39"/>
    <x v="1"/>
    <x v="39"/>
    <x v="39"/>
    <x v="26"/>
    <x v="1"/>
    <x v="3"/>
    <x v="9"/>
    <x v="1"/>
    <x v="32"/>
    <x v="14"/>
    <x v="1"/>
    <x v="1"/>
    <x v="1"/>
    <x v="1"/>
    <x v="1"/>
  </r>
  <r>
    <x v="40"/>
    <x v="2"/>
    <x v="40"/>
    <x v="40"/>
    <x v="27"/>
    <x v="1"/>
    <x v="2"/>
    <x v="39"/>
    <x v="1"/>
    <x v="33"/>
    <x v="16"/>
    <x v="1"/>
    <x v="1"/>
    <x v="1"/>
    <x v="1"/>
    <x v="1"/>
  </r>
  <r>
    <x v="41"/>
    <x v="2"/>
    <x v="41"/>
    <x v="41"/>
    <x v="27"/>
    <x v="1"/>
    <x v="2"/>
    <x v="40"/>
    <x v="1"/>
    <x v="34"/>
    <x v="16"/>
    <x v="1"/>
    <x v="1"/>
    <x v="1"/>
    <x v="1"/>
    <x v="1"/>
  </r>
  <r>
    <x v="42"/>
    <x v="2"/>
    <x v="42"/>
    <x v="42"/>
    <x v="27"/>
    <x v="1"/>
    <x v="2"/>
    <x v="41"/>
    <x v="1"/>
    <x v="34"/>
    <x v="16"/>
    <x v="1"/>
    <x v="1"/>
    <x v="1"/>
    <x v="1"/>
    <x v="1"/>
  </r>
  <r>
    <x v="43"/>
    <x v="2"/>
    <x v="43"/>
    <x v="43"/>
    <x v="27"/>
    <x v="1"/>
    <x v="2"/>
    <x v="36"/>
    <x v="0"/>
    <x v="35"/>
    <x v="10"/>
    <x v="1"/>
    <x v="1"/>
    <x v="1"/>
    <x v="1"/>
    <x v="1"/>
  </r>
  <r>
    <x v="44"/>
    <x v="2"/>
    <x v="44"/>
    <x v="44"/>
    <x v="27"/>
    <x v="1"/>
    <x v="2"/>
    <x v="42"/>
    <x v="1"/>
    <x v="34"/>
    <x v="16"/>
    <x v="1"/>
    <x v="1"/>
    <x v="1"/>
    <x v="1"/>
    <x v="1"/>
  </r>
  <r>
    <x v="45"/>
    <x v="2"/>
    <x v="45"/>
    <x v="45"/>
    <x v="27"/>
    <x v="1"/>
    <x v="2"/>
    <x v="43"/>
    <x v="1"/>
    <x v="36"/>
    <x v="16"/>
    <x v="1"/>
    <x v="1"/>
    <x v="1"/>
    <x v="1"/>
    <x v="1"/>
  </r>
  <r>
    <x v="46"/>
    <x v="2"/>
    <x v="46"/>
    <x v="46"/>
    <x v="27"/>
    <x v="1"/>
    <x v="2"/>
    <x v="44"/>
    <x v="1"/>
    <x v="37"/>
    <x v="16"/>
    <x v="1"/>
    <x v="1"/>
    <x v="1"/>
    <x v="1"/>
    <x v="1"/>
  </r>
  <r>
    <x v="47"/>
    <x v="2"/>
    <x v="47"/>
    <x v="47"/>
    <x v="27"/>
    <x v="1"/>
    <x v="2"/>
    <x v="33"/>
    <x v="1"/>
    <x v="38"/>
    <x v="16"/>
    <x v="1"/>
    <x v="1"/>
    <x v="1"/>
    <x v="1"/>
    <x v="1"/>
  </r>
  <r>
    <x v="48"/>
    <x v="2"/>
    <x v="48"/>
    <x v="48"/>
    <x v="27"/>
    <x v="1"/>
    <x v="2"/>
    <x v="45"/>
    <x v="1"/>
    <x v="39"/>
    <x v="16"/>
    <x v="1"/>
    <x v="1"/>
    <x v="1"/>
    <x v="1"/>
    <x v="1"/>
  </r>
  <r>
    <x v="49"/>
    <x v="2"/>
    <x v="49"/>
    <x v="49"/>
    <x v="27"/>
    <x v="1"/>
    <x v="2"/>
    <x v="46"/>
    <x v="1"/>
    <x v="40"/>
    <x v="16"/>
    <x v="1"/>
    <x v="1"/>
    <x v="1"/>
    <x v="1"/>
    <x v="1"/>
  </r>
  <r>
    <x v="50"/>
    <x v="2"/>
    <x v="50"/>
    <x v="50"/>
    <x v="27"/>
    <x v="1"/>
    <x v="2"/>
    <x v="47"/>
    <x v="1"/>
    <x v="41"/>
    <x v="16"/>
    <x v="1"/>
    <x v="1"/>
    <x v="1"/>
    <x v="1"/>
    <x v="1"/>
  </r>
  <r>
    <x v="51"/>
    <x v="2"/>
    <x v="51"/>
    <x v="51"/>
    <x v="27"/>
    <x v="1"/>
    <x v="2"/>
    <x v="48"/>
    <x v="1"/>
    <x v="42"/>
    <x v="16"/>
    <x v="1"/>
    <x v="1"/>
    <x v="1"/>
    <x v="1"/>
    <x v="1"/>
  </r>
  <r>
    <x v="52"/>
    <x v="2"/>
    <x v="52"/>
    <x v="52"/>
    <x v="27"/>
    <x v="1"/>
    <x v="2"/>
    <x v="49"/>
    <x v="1"/>
    <x v="43"/>
    <x v="16"/>
    <x v="1"/>
    <x v="1"/>
    <x v="1"/>
    <x v="1"/>
    <x v="1"/>
  </r>
  <r>
    <x v="53"/>
    <x v="1"/>
    <x v="53"/>
    <x v="53"/>
    <x v="28"/>
    <x v="1"/>
    <x v="3"/>
    <x v="50"/>
    <x v="3"/>
    <x v="22"/>
    <x v="11"/>
    <x v="1"/>
    <x v="1"/>
    <x v="1"/>
    <x v="1"/>
    <x v="1"/>
  </r>
  <r>
    <x v="54"/>
    <x v="1"/>
    <x v="54"/>
    <x v="54"/>
    <x v="28"/>
    <x v="1"/>
    <x v="3"/>
    <x v="45"/>
    <x v="1"/>
    <x v="44"/>
    <x v="14"/>
    <x v="1"/>
    <x v="1"/>
    <x v="1"/>
    <x v="1"/>
    <x v="1"/>
  </r>
  <r>
    <x v="55"/>
    <x v="1"/>
    <x v="55"/>
    <x v="55"/>
    <x v="28"/>
    <x v="1"/>
    <x v="3"/>
    <x v="51"/>
    <x v="1"/>
    <x v="45"/>
    <x v="14"/>
    <x v="1"/>
    <x v="1"/>
    <x v="1"/>
    <x v="1"/>
    <x v="1"/>
  </r>
  <r>
    <x v="56"/>
    <x v="1"/>
    <x v="56"/>
    <x v="56"/>
    <x v="29"/>
    <x v="1"/>
    <x v="3"/>
    <x v="32"/>
    <x v="3"/>
    <x v="46"/>
    <x v="11"/>
    <x v="1"/>
    <x v="1"/>
    <x v="1"/>
    <x v="1"/>
    <x v="1"/>
  </r>
  <r>
    <x v="57"/>
    <x v="1"/>
    <x v="57"/>
    <x v="57"/>
    <x v="29"/>
    <x v="1"/>
    <x v="3"/>
    <x v="52"/>
    <x v="1"/>
    <x v="28"/>
    <x v="14"/>
    <x v="1"/>
    <x v="1"/>
    <x v="1"/>
    <x v="1"/>
    <x v="1"/>
  </r>
  <r>
    <x v="58"/>
    <x v="1"/>
    <x v="58"/>
    <x v="58"/>
    <x v="30"/>
    <x v="1"/>
    <x v="3"/>
    <x v="53"/>
    <x v="1"/>
    <x v="47"/>
    <x v="14"/>
    <x v="1"/>
    <x v="1"/>
    <x v="1"/>
    <x v="1"/>
    <x v="1"/>
  </r>
  <r>
    <x v="59"/>
    <x v="2"/>
    <x v="59"/>
    <x v="59"/>
    <x v="31"/>
    <x v="1"/>
    <x v="2"/>
    <x v="54"/>
    <x v="0"/>
    <x v="48"/>
    <x v="17"/>
    <x v="1"/>
    <x v="1"/>
    <x v="1"/>
    <x v="1"/>
    <x v="1"/>
  </r>
  <r>
    <x v="60"/>
    <x v="2"/>
    <x v="60"/>
    <x v="60"/>
    <x v="32"/>
    <x v="1"/>
    <x v="2"/>
    <x v="55"/>
    <x v="0"/>
    <x v="49"/>
    <x v="10"/>
    <x v="1"/>
    <x v="1"/>
    <x v="1"/>
    <x v="1"/>
    <x v="1"/>
  </r>
  <r>
    <x v="61"/>
    <x v="1"/>
    <x v="61"/>
    <x v="61"/>
    <x v="33"/>
    <x v="1"/>
    <x v="4"/>
    <x v="56"/>
    <x v="0"/>
    <x v="50"/>
    <x v="18"/>
    <x v="1"/>
    <x v="1"/>
    <x v="1"/>
    <x v="1"/>
    <x v="1"/>
  </r>
  <r>
    <x v="62"/>
    <x v="1"/>
    <x v="62"/>
    <x v="62"/>
    <x v="34"/>
    <x v="1"/>
    <x v="3"/>
    <x v="57"/>
    <x v="0"/>
    <x v="51"/>
    <x v="14"/>
    <x v="1"/>
    <x v="1"/>
    <x v="1"/>
    <x v="1"/>
    <x v="1"/>
  </r>
  <r>
    <x v="63"/>
    <x v="1"/>
    <x v="63"/>
    <x v="63"/>
    <x v="5"/>
    <x v="1"/>
    <x v="4"/>
    <x v="58"/>
    <x v="0"/>
    <x v="52"/>
    <x v="14"/>
    <x v="1"/>
    <x v="1"/>
    <x v="1"/>
    <x v="1"/>
    <x v="1"/>
  </r>
  <r>
    <x v="64"/>
    <x v="1"/>
    <x v="64"/>
    <x v="64"/>
    <x v="35"/>
    <x v="1"/>
    <x v="4"/>
    <x v="59"/>
    <x v="1"/>
    <x v="53"/>
    <x v="19"/>
    <x v="1"/>
    <x v="1"/>
    <x v="1"/>
    <x v="1"/>
    <x v="1"/>
  </r>
  <r>
    <x v="65"/>
    <x v="4"/>
    <x v="65"/>
    <x v="65"/>
    <x v="36"/>
    <x v="1"/>
    <x v="3"/>
    <x v="60"/>
    <x v="1"/>
    <x v="54"/>
    <x v="14"/>
    <x v="1"/>
    <x v="1"/>
    <x v="1"/>
    <x v="1"/>
    <x v="1"/>
  </r>
  <r>
    <x v="66"/>
    <x v="1"/>
    <x v="66"/>
    <x v="66"/>
    <x v="37"/>
    <x v="1"/>
    <x v="3"/>
    <x v="61"/>
    <x v="1"/>
    <x v="55"/>
    <x v="14"/>
    <x v="1"/>
    <x v="1"/>
    <x v="1"/>
    <x v="1"/>
    <x v="1"/>
  </r>
  <r>
    <x v="67"/>
    <x v="2"/>
    <x v="67"/>
    <x v="67"/>
    <x v="38"/>
    <x v="1"/>
    <x v="2"/>
    <x v="62"/>
    <x v="1"/>
    <x v="56"/>
    <x v="20"/>
    <x v="1"/>
    <x v="1"/>
    <x v="1"/>
    <x v="1"/>
    <x v="1"/>
  </r>
  <r>
    <x v="68"/>
    <x v="2"/>
    <x v="68"/>
    <x v="68"/>
    <x v="38"/>
    <x v="1"/>
    <x v="2"/>
    <x v="63"/>
    <x v="3"/>
    <x v="57"/>
    <x v="11"/>
    <x v="1"/>
    <x v="1"/>
    <x v="1"/>
    <x v="1"/>
    <x v="1"/>
  </r>
  <r>
    <x v="69"/>
    <x v="1"/>
    <x v="69"/>
    <x v="69"/>
    <x v="39"/>
    <x v="1"/>
    <x v="4"/>
    <x v="64"/>
    <x v="1"/>
    <x v="58"/>
    <x v="21"/>
    <x v="1"/>
    <x v="1"/>
    <x v="1"/>
    <x v="1"/>
    <x v="1"/>
  </r>
  <r>
    <x v="70"/>
    <x v="1"/>
    <x v="70"/>
    <x v="70"/>
    <x v="40"/>
    <x v="1"/>
    <x v="4"/>
    <x v="65"/>
    <x v="1"/>
    <x v="45"/>
    <x v="19"/>
    <x v="1"/>
    <x v="1"/>
    <x v="1"/>
    <x v="1"/>
    <x v="1"/>
  </r>
  <r>
    <x v="71"/>
    <x v="1"/>
    <x v="71"/>
    <x v="71"/>
    <x v="41"/>
    <x v="1"/>
    <x v="4"/>
    <x v="66"/>
    <x v="2"/>
    <x v="45"/>
    <x v="19"/>
    <x v="1"/>
    <x v="1"/>
    <x v="1"/>
    <x v="1"/>
    <x v="1"/>
  </r>
  <r>
    <x v="72"/>
    <x v="1"/>
    <x v="72"/>
    <x v="72"/>
    <x v="42"/>
    <x v="1"/>
    <x v="4"/>
    <x v="67"/>
    <x v="1"/>
    <x v="59"/>
    <x v="19"/>
    <x v="1"/>
    <x v="1"/>
    <x v="1"/>
    <x v="1"/>
    <x v="1"/>
  </r>
  <r>
    <x v="73"/>
    <x v="0"/>
    <x v="73"/>
    <x v="73"/>
    <x v="43"/>
    <x v="1"/>
    <x v="1"/>
    <x v="68"/>
    <x v="1"/>
    <x v="60"/>
    <x v="19"/>
    <x v="1"/>
    <x v="1"/>
    <x v="1"/>
    <x v="1"/>
    <x v="1"/>
  </r>
  <r>
    <x v="74"/>
    <x v="1"/>
    <x v="74"/>
    <x v="74"/>
    <x v="44"/>
    <x v="1"/>
    <x v="4"/>
    <x v="51"/>
    <x v="0"/>
    <x v="45"/>
    <x v="19"/>
    <x v="1"/>
    <x v="1"/>
    <x v="1"/>
    <x v="1"/>
    <x v="1"/>
  </r>
  <r>
    <x v="75"/>
    <x v="2"/>
    <x v="75"/>
    <x v="75"/>
    <x v="45"/>
    <x v="1"/>
    <x v="2"/>
    <x v="69"/>
    <x v="1"/>
    <x v="61"/>
    <x v="22"/>
    <x v="1"/>
    <x v="1"/>
    <x v="1"/>
    <x v="1"/>
    <x v="1"/>
  </r>
  <r>
    <x v="76"/>
    <x v="1"/>
    <x v="76"/>
    <x v="76"/>
    <x v="39"/>
    <x v="1"/>
    <x v="4"/>
    <x v="37"/>
    <x v="2"/>
    <x v="22"/>
    <x v="19"/>
    <x v="1"/>
    <x v="1"/>
    <x v="1"/>
    <x v="1"/>
    <x v="1"/>
  </r>
  <r>
    <x v="77"/>
    <x v="1"/>
    <x v="77"/>
    <x v="77"/>
    <x v="39"/>
    <x v="1"/>
    <x v="4"/>
    <x v="70"/>
    <x v="1"/>
    <x v="62"/>
    <x v="19"/>
    <x v="1"/>
    <x v="1"/>
    <x v="1"/>
    <x v="1"/>
    <x v="1"/>
  </r>
  <r>
    <x v="78"/>
    <x v="1"/>
    <x v="78"/>
    <x v="78"/>
    <x v="39"/>
    <x v="1"/>
    <x v="4"/>
    <x v="71"/>
    <x v="1"/>
    <x v="63"/>
    <x v="19"/>
    <x v="1"/>
    <x v="1"/>
    <x v="1"/>
    <x v="1"/>
    <x v="1"/>
  </r>
  <r>
    <x v="79"/>
    <x v="0"/>
    <x v="79"/>
    <x v="79"/>
    <x v="46"/>
    <x v="1"/>
    <x v="2"/>
    <x v="72"/>
    <x v="2"/>
    <x v="64"/>
    <x v="23"/>
    <x v="1"/>
    <x v="1"/>
    <x v="1"/>
    <x v="1"/>
    <x v="1"/>
  </r>
  <r>
    <x v="80"/>
    <x v="1"/>
    <x v="80"/>
    <x v="80"/>
    <x v="39"/>
    <x v="1"/>
    <x v="4"/>
    <x v="73"/>
    <x v="1"/>
    <x v="65"/>
    <x v="19"/>
    <x v="1"/>
    <x v="1"/>
    <x v="1"/>
    <x v="1"/>
    <x v="1"/>
  </r>
  <r>
    <x v="81"/>
    <x v="1"/>
    <x v="81"/>
    <x v="81"/>
    <x v="39"/>
    <x v="1"/>
    <x v="4"/>
    <x v="74"/>
    <x v="1"/>
    <x v="66"/>
    <x v="19"/>
    <x v="1"/>
    <x v="1"/>
    <x v="1"/>
    <x v="1"/>
    <x v="1"/>
  </r>
  <r>
    <x v="82"/>
    <x v="1"/>
    <x v="82"/>
    <x v="82"/>
    <x v="47"/>
    <x v="1"/>
    <x v="4"/>
    <x v="75"/>
    <x v="2"/>
    <x v="67"/>
    <x v="19"/>
    <x v="1"/>
    <x v="1"/>
    <x v="1"/>
    <x v="1"/>
    <x v="1"/>
  </r>
  <r>
    <x v="83"/>
    <x v="1"/>
    <x v="83"/>
    <x v="83"/>
    <x v="48"/>
    <x v="1"/>
    <x v="4"/>
    <x v="76"/>
    <x v="1"/>
    <x v="68"/>
    <x v="14"/>
    <x v="1"/>
    <x v="1"/>
    <x v="1"/>
    <x v="1"/>
    <x v="1"/>
  </r>
  <r>
    <x v="84"/>
    <x v="1"/>
    <x v="84"/>
    <x v="84"/>
    <x v="46"/>
    <x v="1"/>
    <x v="4"/>
    <x v="77"/>
    <x v="2"/>
    <x v="69"/>
    <x v="19"/>
    <x v="1"/>
    <x v="1"/>
    <x v="1"/>
    <x v="1"/>
    <x v="1"/>
  </r>
  <r>
    <x v="85"/>
    <x v="1"/>
    <x v="85"/>
    <x v="85"/>
    <x v="46"/>
    <x v="1"/>
    <x v="4"/>
    <x v="78"/>
    <x v="2"/>
    <x v="70"/>
    <x v="19"/>
    <x v="1"/>
    <x v="1"/>
    <x v="1"/>
    <x v="1"/>
    <x v="1"/>
  </r>
  <r>
    <x v="86"/>
    <x v="1"/>
    <x v="86"/>
    <x v="86"/>
    <x v="46"/>
    <x v="1"/>
    <x v="4"/>
    <x v="75"/>
    <x v="0"/>
    <x v="71"/>
    <x v="14"/>
    <x v="1"/>
    <x v="1"/>
    <x v="1"/>
    <x v="1"/>
    <x v="1"/>
  </r>
  <r>
    <x v="87"/>
    <x v="3"/>
    <x v="87"/>
    <x v="87"/>
    <x v="49"/>
    <x v="1"/>
    <x v="5"/>
    <x v="79"/>
    <x v="0"/>
    <x v="72"/>
    <x v="24"/>
    <x v="1"/>
    <x v="1"/>
    <x v="1"/>
    <x v="1"/>
    <x v="1"/>
  </r>
  <r>
    <x v="88"/>
    <x v="1"/>
    <x v="88"/>
    <x v="88"/>
    <x v="50"/>
    <x v="1"/>
    <x v="4"/>
    <x v="80"/>
    <x v="2"/>
    <x v="73"/>
    <x v="25"/>
    <x v="1"/>
    <x v="1"/>
    <x v="1"/>
    <x v="1"/>
    <x v="1"/>
  </r>
  <r>
    <x v="89"/>
    <x v="1"/>
    <x v="89"/>
    <x v="89"/>
    <x v="51"/>
    <x v="1"/>
    <x v="4"/>
    <x v="52"/>
    <x v="2"/>
    <x v="28"/>
    <x v="25"/>
    <x v="1"/>
    <x v="1"/>
    <x v="1"/>
    <x v="1"/>
    <x v="1"/>
  </r>
  <r>
    <x v="90"/>
    <x v="1"/>
    <x v="90"/>
    <x v="90"/>
    <x v="52"/>
    <x v="1"/>
    <x v="4"/>
    <x v="81"/>
    <x v="0"/>
    <x v="74"/>
    <x v="14"/>
    <x v="1"/>
    <x v="1"/>
    <x v="1"/>
    <x v="1"/>
    <x v="1"/>
  </r>
  <r>
    <x v="91"/>
    <x v="2"/>
    <x v="91"/>
    <x v="91"/>
    <x v="52"/>
    <x v="1"/>
    <x v="2"/>
    <x v="82"/>
    <x v="1"/>
    <x v="75"/>
    <x v="26"/>
    <x v="1"/>
    <x v="1"/>
    <x v="1"/>
    <x v="1"/>
    <x v="1"/>
  </r>
  <r>
    <x v="92"/>
    <x v="1"/>
    <x v="92"/>
    <x v="92"/>
    <x v="53"/>
    <x v="1"/>
    <x v="4"/>
    <x v="83"/>
    <x v="2"/>
    <x v="76"/>
    <x v="27"/>
    <x v="1"/>
    <x v="1"/>
    <x v="1"/>
    <x v="1"/>
    <x v="1"/>
  </r>
  <r>
    <x v="93"/>
    <x v="1"/>
    <x v="93"/>
    <x v="93"/>
    <x v="53"/>
    <x v="1"/>
    <x v="4"/>
    <x v="65"/>
    <x v="1"/>
    <x v="45"/>
    <x v="19"/>
    <x v="1"/>
    <x v="1"/>
    <x v="1"/>
    <x v="1"/>
    <x v="1"/>
  </r>
  <r>
    <x v="94"/>
    <x v="0"/>
    <x v="94"/>
    <x v="94"/>
    <x v="54"/>
    <x v="1"/>
    <x v="1"/>
    <x v="84"/>
    <x v="2"/>
    <x v="77"/>
    <x v="28"/>
    <x v="1"/>
    <x v="1"/>
    <x v="1"/>
    <x v="1"/>
    <x v="1"/>
  </r>
  <r>
    <x v="95"/>
    <x v="0"/>
    <x v="95"/>
    <x v="95"/>
    <x v="55"/>
    <x v="1"/>
    <x v="1"/>
    <x v="85"/>
    <x v="2"/>
    <x v="78"/>
    <x v="28"/>
    <x v="1"/>
    <x v="1"/>
    <x v="1"/>
    <x v="1"/>
    <x v="1"/>
  </r>
  <r>
    <x v="96"/>
    <x v="1"/>
    <x v="96"/>
    <x v="96"/>
    <x v="56"/>
    <x v="1"/>
    <x v="4"/>
    <x v="86"/>
    <x v="2"/>
    <x v="30"/>
    <x v="27"/>
    <x v="1"/>
    <x v="1"/>
    <x v="1"/>
    <x v="1"/>
    <x v="1"/>
  </r>
  <r>
    <x v="97"/>
    <x v="2"/>
    <x v="97"/>
    <x v="97"/>
    <x v="57"/>
    <x v="1"/>
    <x v="2"/>
    <x v="87"/>
    <x v="2"/>
    <x v="79"/>
    <x v="26"/>
    <x v="1"/>
    <x v="1"/>
    <x v="1"/>
    <x v="1"/>
    <x v="1"/>
  </r>
  <r>
    <x v="98"/>
    <x v="1"/>
    <x v="98"/>
    <x v="98"/>
    <x v="58"/>
    <x v="1"/>
    <x v="4"/>
    <x v="88"/>
    <x v="2"/>
    <x v="45"/>
    <x v="25"/>
    <x v="1"/>
    <x v="1"/>
    <x v="1"/>
    <x v="1"/>
    <x v="1"/>
  </r>
  <r>
    <x v="99"/>
    <x v="1"/>
    <x v="99"/>
    <x v="99"/>
    <x v="59"/>
    <x v="1"/>
    <x v="4"/>
    <x v="89"/>
    <x v="2"/>
    <x v="80"/>
    <x v="25"/>
    <x v="1"/>
    <x v="1"/>
    <x v="1"/>
    <x v="1"/>
    <x v="1"/>
  </r>
  <r>
    <x v="100"/>
    <x v="1"/>
    <x v="100"/>
    <x v="100"/>
    <x v="60"/>
    <x v="1"/>
    <x v="4"/>
    <x v="90"/>
    <x v="2"/>
    <x v="81"/>
    <x v="25"/>
    <x v="1"/>
    <x v="1"/>
    <x v="1"/>
    <x v="1"/>
    <x v="1"/>
  </r>
  <r>
    <x v="101"/>
    <x v="1"/>
    <x v="101"/>
    <x v="101"/>
    <x v="17"/>
    <x v="1"/>
    <x v="4"/>
    <x v="91"/>
    <x v="2"/>
    <x v="82"/>
    <x v="29"/>
    <x v="1"/>
    <x v="1"/>
    <x v="1"/>
    <x v="1"/>
    <x v="1"/>
  </r>
  <r>
    <x v="102"/>
    <x v="2"/>
    <x v="102"/>
    <x v="102"/>
    <x v="17"/>
    <x v="1"/>
    <x v="2"/>
    <x v="92"/>
    <x v="2"/>
    <x v="83"/>
    <x v="26"/>
    <x v="1"/>
    <x v="1"/>
    <x v="1"/>
    <x v="1"/>
    <x v="1"/>
  </r>
  <r>
    <x v="103"/>
    <x v="1"/>
    <x v="103"/>
    <x v="103"/>
    <x v="61"/>
    <x v="1"/>
    <x v="3"/>
    <x v="93"/>
    <x v="2"/>
    <x v="84"/>
    <x v="30"/>
    <x v="1"/>
    <x v="1"/>
    <x v="1"/>
    <x v="1"/>
    <x v="1"/>
  </r>
  <r>
    <x v="104"/>
    <x v="1"/>
    <x v="104"/>
    <x v="104"/>
    <x v="62"/>
    <x v="1"/>
    <x v="4"/>
    <x v="25"/>
    <x v="2"/>
    <x v="85"/>
    <x v="25"/>
    <x v="1"/>
    <x v="1"/>
    <x v="1"/>
    <x v="1"/>
    <x v="1"/>
  </r>
  <r>
    <x v="105"/>
    <x v="1"/>
    <x v="105"/>
    <x v="105"/>
    <x v="62"/>
    <x v="1"/>
    <x v="4"/>
    <x v="94"/>
    <x v="2"/>
    <x v="86"/>
    <x v="25"/>
    <x v="1"/>
    <x v="1"/>
    <x v="1"/>
    <x v="1"/>
    <x v="1"/>
  </r>
  <r>
    <x v="106"/>
    <x v="1"/>
    <x v="106"/>
    <x v="106"/>
    <x v="63"/>
    <x v="1"/>
    <x v="4"/>
    <x v="95"/>
    <x v="2"/>
    <x v="87"/>
    <x v="25"/>
    <x v="1"/>
    <x v="1"/>
    <x v="1"/>
    <x v="1"/>
    <x v="1"/>
  </r>
  <r>
    <x v="107"/>
    <x v="1"/>
    <x v="107"/>
    <x v="107"/>
    <x v="63"/>
    <x v="1"/>
    <x v="4"/>
    <x v="96"/>
    <x v="2"/>
    <x v="88"/>
    <x v="25"/>
    <x v="1"/>
    <x v="1"/>
    <x v="1"/>
    <x v="1"/>
    <x v="1"/>
  </r>
  <r>
    <x v="108"/>
    <x v="1"/>
    <x v="108"/>
    <x v="108"/>
    <x v="63"/>
    <x v="1"/>
    <x v="4"/>
    <x v="97"/>
    <x v="2"/>
    <x v="89"/>
    <x v="25"/>
    <x v="1"/>
    <x v="1"/>
    <x v="1"/>
    <x v="1"/>
    <x v="1"/>
  </r>
  <r>
    <x v="109"/>
    <x v="1"/>
    <x v="109"/>
    <x v="109"/>
    <x v="63"/>
    <x v="1"/>
    <x v="4"/>
    <x v="98"/>
    <x v="2"/>
    <x v="90"/>
    <x v="25"/>
    <x v="1"/>
    <x v="1"/>
    <x v="1"/>
    <x v="1"/>
    <x v="1"/>
  </r>
  <r>
    <x v="110"/>
    <x v="1"/>
    <x v="110"/>
    <x v="110"/>
    <x v="64"/>
    <x v="1"/>
    <x v="4"/>
    <x v="99"/>
    <x v="1"/>
    <x v="22"/>
    <x v="19"/>
    <x v="1"/>
    <x v="1"/>
    <x v="1"/>
    <x v="1"/>
    <x v="1"/>
  </r>
  <r>
    <x v="111"/>
    <x v="1"/>
    <x v="111"/>
    <x v="111"/>
    <x v="65"/>
    <x v="2"/>
    <x v="4"/>
    <x v="100"/>
    <x v="0"/>
    <x v="91"/>
    <x v="14"/>
    <x v="1"/>
    <x v="1"/>
    <x v="1"/>
    <x v="1"/>
    <x v="1"/>
  </r>
  <r>
    <x v="112"/>
    <x v="0"/>
    <x v="112"/>
    <x v="112"/>
    <x v="66"/>
    <x v="2"/>
    <x v="2"/>
    <x v="101"/>
    <x v="3"/>
    <x v="92"/>
    <x v="11"/>
    <x v="1"/>
    <x v="1"/>
    <x v="1"/>
    <x v="1"/>
    <x v="1"/>
  </r>
  <r>
    <x v="113"/>
    <x v="3"/>
    <x v="113"/>
    <x v="113"/>
    <x v="66"/>
    <x v="2"/>
    <x v="3"/>
    <x v="102"/>
    <x v="0"/>
    <x v="93"/>
    <x v="14"/>
    <x v="1"/>
    <x v="1"/>
    <x v="1"/>
    <x v="1"/>
    <x v="1"/>
  </r>
  <r>
    <x v="114"/>
    <x v="3"/>
    <x v="114"/>
    <x v="114"/>
    <x v="66"/>
    <x v="2"/>
    <x v="5"/>
    <x v="103"/>
    <x v="3"/>
    <x v="94"/>
    <x v="11"/>
    <x v="1"/>
    <x v="1"/>
    <x v="1"/>
    <x v="1"/>
    <x v="1"/>
  </r>
  <r>
    <x v="115"/>
    <x v="3"/>
    <x v="115"/>
    <x v="115"/>
    <x v="66"/>
    <x v="2"/>
    <x v="5"/>
    <x v="104"/>
    <x v="3"/>
    <x v="95"/>
    <x v="11"/>
    <x v="1"/>
    <x v="1"/>
    <x v="1"/>
    <x v="1"/>
    <x v="1"/>
  </r>
  <r>
    <x v="116"/>
    <x v="3"/>
    <x v="116"/>
    <x v="116"/>
    <x v="66"/>
    <x v="2"/>
    <x v="5"/>
    <x v="105"/>
    <x v="3"/>
    <x v="96"/>
    <x v="11"/>
    <x v="1"/>
    <x v="1"/>
    <x v="1"/>
    <x v="1"/>
    <x v="1"/>
  </r>
  <r>
    <x v="117"/>
    <x v="0"/>
    <x v="117"/>
    <x v="117"/>
    <x v="67"/>
    <x v="2"/>
    <x v="0"/>
    <x v="106"/>
    <x v="3"/>
    <x v="97"/>
    <x v="11"/>
    <x v="1"/>
    <x v="1"/>
    <x v="1"/>
    <x v="1"/>
    <x v="1"/>
  </r>
  <r>
    <x v="118"/>
    <x v="3"/>
    <x v="118"/>
    <x v="118"/>
    <x v="49"/>
    <x v="2"/>
    <x v="5"/>
    <x v="107"/>
    <x v="3"/>
    <x v="98"/>
    <x v="11"/>
    <x v="1"/>
    <x v="1"/>
    <x v="1"/>
    <x v="1"/>
    <x v="1"/>
  </r>
  <r>
    <x v="119"/>
    <x v="0"/>
    <x v="119"/>
    <x v="119"/>
    <x v="68"/>
    <x v="2"/>
    <x v="4"/>
    <x v="108"/>
    <x v="0"/>
    <x v="99"/>
    <x v="14"/>
    <x v="1"/>
    <x v="1"/>
    <x v="1"/>
    <x v="1"/>
    <x v="1"/>
  </r>
  <r>
    <x v="120"/>
    <x v="0"/>
    <x v="120"/>
    <x v="120"/>
    <x v="22"/>
    <x v="2"/>
    <x v="1"/>
    <x v="109"/>
    <x v="3"/>
    <x v="100"/>
    <x v="11"/>
    <x v="1"/>
    <x v="1"/>
    <x v="1"/>
    <x v="1"/>
    <x v="1"/>
  </r>
  <r>
    <x v="121"/>
    <x v="0"/>
    <x v="121"/>
    <x v="121"/>
    <x v="22"/>
    <x v="2"/>
    <x v="2"/>
    <x v="29"/>
    <x v="0"/>
    <x v="101"/>
    <x v="31"/>
    <x v="1"/>
    <x v="1"/>
    <x v="1"/>
    <x v="1"/>
    <x v="1"/>
  </r>
  <r>
    <x v="122"/>
    <x v="0"/>
    <x v="122"/>
    <x v="122"/>
    <x v="0"/>
    <x v="2"/>
    <x v="6"/>
    <x v="110"/>
    <x v="0"/>
    <x v="102"/>
    <x v="14"/>
    <x v="1"/>
    <x v="1"/>
    <x v="1"/>
    <x v="1"/>
    <x v="1"/>
  </r>
  <r>
    <x v="123"/>
    <x v="0"/>
    <x v="123"/>
    <x v="123"/>
    <x v="69"/>
    <x v="2"/>
    <x v="5"/>
    <x v="111"/>
    <x v="1"/>
    <x v="103"/>
    <x v="32"/>
    <x v="1"/>
    <x v="1"/>
    <x v="1"/>
    <x v="1"/>
    <x v="1"/>
  </r>
  <r>
    <x v="124"/>
    <x v="3"/>
    <x v="124"/>
    <x v="124"/>
    <x v="70"/>
    <x v="2"/>
    <x v="6"/>
    <x v="112"/>
    <x v="3"/>
    <x v="104"/>
    <x v="11"/>
    <x v="1"/>
    <x v="1"/>
    <x v="1"/>
    <x v="1"/>
    <x v="1"/>
  </r>
  <r>
    <x v="125"/>
    <x v="0"/>
    <x v="125"/>
    <x v="125"/>
    <x v="71"/>
    <x v="2"/>
    <x v="1"/>
    <x v="113"/>
    <x v="1"/>
    <x v="105"/>
    <x v="33"/>
    <x v="1"/>
    <x v="1"/>
    <x v="1"/>
    <x v="1"/>
    <x v="1"/>
  </r>
  <r>
    <x v="126"/>
    <x v="3"/>
    <x v="126"/>
    <x v="126"/>
    <x v="72"/>
    <x v="2"/>
    <x v="5"/>
    <x v="114"/>
    <x v="3"/>
    <x v="106"/>
    <x v="11"/>
    <x v="1"/>
    <x v="1"/>
    <x v="1"/>
    <x v="1"/>
    <x v="1"/>
  </r>
  <r>
    <x v="127"/>
    <x v="0"/>
    <x v="127"/>
    <x v="127"/>
    <x v="73"/>
    <x v="2"/>
    <x v="6"/>
    <x v="115"/>
    <x v="2"/>
    <x v="107"/>
    <x v="34"/>
    <x v="1"/>
    <x v="1"/>
    <x v="1"/>
    <x v="1"/>
    <x v="1"/>
  </r>
  <r>
    <x v="128"/>
    <x v="0"/>
    <x v="128"/>
    <x v="128"/>
    <x v="73"/>
    <x v="2"/>
    <x v="6"/>
    <x v="116"/>
    <x v="3"/>
    <x v="108"/>
    <x v="11"/>
    <x v="1"/>
    <x v="1"/>
    <x v="1"/>
    <x v="1"/>
    <x v="1"/>
  </r>
  <r>
    <x v="129"/>
    <x v="0"/>
    <x v="129"/>
    <x v="129"/>
    <x v="73"/>
    <x v="2"/>
    <x v="1"/>
    <x v="117"/>
    <x v="3"/>
    <x v="109"/>
    <x v="11"/>
    <x v="1"/>
    <x v="1"/>
    <x v="1"/>
    <x v="1"/>
    <x v="1"/>
  </r>
  <r>
    <x v="130"/>
    <x v="2"/>
    <x v="130"/>
    <x v="130"/>
    <x v="74"/>
    <x v="2"/>
    <x v="2"/>
    <x v="118"/>
    <x v="1"/>
    <x v="110"/>
    <x v="10"/>
    <x v="1"/>
    <x v="1"/>
    <x v="1"/>
    <x v="1"/>
    <x v="1"/>
  </r>
  <r>
    <x v="131"/>
    <x v="0"/>
    <x v="131"/>
    <x v="131"/>
    <x v="24"/>
    <x v="2"/>
    <x v="0"/>
    <x v="119"/>
    <x v="3"/>
    <x v="111"/>
    <x v="11"/>
    <x v="1"/>
    <x v="1"/>
    <x v="1"/>
    <x v="1"/>
    <x v="1"/>
  </r>
  <r>
    <x v="132"/>
    <x v="0"/>
    <x v="132"/>
    <x v="132"/>
    <x v="75"/>
    <x v="2"/>
    <x v="6"/>
    <x v="120"/>
    <x v="3"/>
    <x v="112"/>
    <x v="11"/>
    <x v="1"/>
    <x v="1"/>
    <x v="1"/>
    <x v="1"/>
    <x v="1"/>
  </r>
  <r>
    <x v="133"/>
    <x v="0"/>
    <x v="133"/>
    <x v="133"/>
    <x v="76"/>
    <x v="2"/>
    <x v="2"/>
    <x v="121"/>
    <x v="0"/>
    <x v="113"/>
    <x v="31"/>
    <x v="1"/>
    <x v="1"/>
    <x v="1"/>
    <x v="1"/>
    <x v="1"/>
  </r>
  <r>
    <x v="134"/>
    <x v="0"/>
    <x v="134"/>
    <x v="134"/>
    <x v="53"/>
    <x v="2"/>
    <x v="5"/>
    <x v="122"/>
    <x v="2"/>
    <x v="114"/>
    <x v="35"/>
    <x v="1"/>
    <x v="1"/>
    <x v="1"/>
    <x v="1"/>
    <x v="1"/>
  </r>
  <r>
    <x v="135"/>
    <x v="3"/>
    <x v="135"/>
    <x v="135"/>
    <x v="29"/>
    <x v="2"/>
    <x v="5"/>
    <x v="123"/>
    <x v="0"/>
    <x v="115"/>
    <x v="36"/>
    <x v="1"/>
    <x v="1"/>
    <x v="1"/>
    <x v="1"/>
    <x v="1"/>
  </r>
  <r>
    <x v="136"/>
    <x v="3"/>
    <x v="136"/>
    <x v="136"/>
    <x v="77"/>
    <x v="2"/>
    <x v="5"/>
    <x v="124"/>
    <x v="3"/>
    <x v="116"/>
    <x v="11"/>
    <x v="1"/>
    <x v="1"/>
    <x v="1"/>
    <x v="1"/>
    <x v="1"/>
  </r>
  <r>
    <x v="137"/>
    <x v="3"/>
    <x v="137"/>
    <x v="137"/>
    <x v="77"/>
    <x v="2"/>
    <x v="5"/>
    <x v="125"/>
    <x v="3"/>
    <x v="117"/>
    <x v="11"/>
    <x v="1"/>
    <x v="1"/>
    <x v="1"/>
    <x v="1"/>
    <x v="1"/>
  </r>
  <r>
    <x v="138"/>
    <x v="0"/>
    <x v="138"/>
    <x v="138"/>
    <x v="78"/>
    <x v="2"/>
    <x v="1"/>
    <x v="126"/>
    <x v="1"/>
    <x v="118"/>
    <x v="37"/>
    <x v="1"/>
    <x v="1"/>
    <x v="1"/>
    <x v="1"/>
    <x v="1"/>
  </r>
  <r>
    <x v="139"/>
    <x v="3"/>
    <x v="139"/>
    <x v="139"/>
    <x v="79"/>
    <x v="2"/>
    <x v="1"/>
    <x v="127"/>
    <x v="1"/>
    <x v="119"/>
    <x v="38"/>
    <x v="1"/>
    <x v="1"/>
    <x v="1"/>
    <x v="1"/>
    <x v="1"/>
  </r>
  <r>
    <x v="140"/>
    <x v="0"/>
    <x v="140"/>
    <x v="140"/>
    <x v="80"/>
    <x v="2"/>
    <x v="6"/>
    <x v="128"/>
    <x v="2"/>
    <x v="120"/>
    <x v="13"/>
    <x v="1"/>
    <x v="1"/>
    <x v="1"/>
    <x v="1"/>
    <x v="1"/>
  </r>
  <r>
    <x v="141"/>
    <x v="3"/>
    <x v="141"/>
    <x v="141"/>
    <x v="30"/>
    <x v="2"/>
    <x v="6"/>
    <x v="129"/>
    <x v="2"/>
    <x v="121"/>
    <x v="13"/>
    <x v="1"/>
    <x v="1"/>
    <x v="1"/>
    <x v="1"/>
    <x v="1"/>
  </r>
  <r>
    <x v="142"/>
    <x v="0"/>
    <x v="142"/>
    <x v="142"/>
    <x v="32"/>
    <x v="2"/>
    <x v="5"/>
    <x v="130"/>
    <x v="1"/>
    <x v="122"/>
    <x v="39"/>
    <x v="1"/>
    <x v="1"/>
    <x v="1"/>
    <x v="1"/>
    <x v="1"/>
  </r>
  <r>
    <x v="143"/>
    <x v="0"/>
    <x v="143"/>
    <x v="143"/>
    <x v="81"/>
    <x v="2"/>
    <x v="4"/>
    <x v="39"/>
    <x v="1"/>
    <x v="123"/>
    <x v="19"/>
    <x v="1"/>
    <x v="1"/>
    <x v="1"/>
    <x v="1"/>
    <x v="1"/>
  </r>
  <r>
    <x v="144"/>
    <x v="0"/>
    <x v="144"/>
    <x v="144"/>
    <x v="82"/>
    <x v="2"/>
    <x v="5"/>
    <x v="131"/>
    <x v="2"/>
    <x v="124"/>
    <x v="40"/>
    <x v="1"/>
    <x v="1"/>
    <x v="1"/>
    <x v="1"/>
    <x v="1"/>
  </r>
  <r>
    <x v="145"/>
    <x v="0"/>
    <x v="145"/>
    <x v="145"/>
    <x v="83"/>
    <x v="2"/>
    <x v="5"/>
    <x v="132"/>
    <x v="2"/>
    <x v="125"/>
    <x v="41"/>
    <x v="1"/>
    <x v="1"/>
    <x v="1"/>
    <x v="1"/>
    <x v="1"/>
  </r>
  <r>
    <x v="146"/>
    <x v="0"/>
    <x v="146"/>
    <x v="146"/>
    <x v="84"/>
    <x v="2"/>
    <x v="1"/>
    <x v="133"/>
    <x v="1"/>
    <x v="126"/>
    <x v="33"/>
    <x v="1"/>
    <x v="1"/>
    <x v="1"/>
    <x v="1"/>
    <x v="1"/>
  </r>
  <r>
    <x v="147"/>
    <x v="0"/>
    <x v="147"/>
    <x v="147"/>
    <x v="84"/>
    <x v="2"/>
    <x v="0"/>
    <x v="88"/>
    <x v="2"/>
    <x v="127"/>
    <x v="38"/>
    <x v="1"/>
    <x v="1"/>
    <x v="1"/>
    <x v="1"/>
    <x v="1"/>
  </r>
  <r>
    <x v="148"/>
    <x v="3"/>
    <x v="148"/>
    <x v="148"/>
    <x v="84"/>
    <x v="2"/>
    <x v="5"/>
    <x v="134"/>
    <x v="3"/>
    <x v="128"/>
    <x v="11"/>
    <x v="1"/>
    <x v="1"/>
    <x v="1"/>
    <x v="1"/>
    <x v="1"/>
  </r>
  <r>
    <x v="149"/>
    <x v="3"/>
    <x v="149"/>
    <x v="149"/>
    <x v="85"/>
    <x v="2"/>
    <x v="5"/>
    <x v="135"/>
    <x v="3"/>
    <x v="129"/>
    <x v="11"/>
    <x v="1"/>
    <x v="1"/>
    <x v="1"/>
    <x v="1"/>
    <x v="1"/>
  </r>
  <r>
    <x v="150"/>
    <x v="0"/>
    <x v="150"/>
    <x v="150"/>
    <x v="6"/>
    <x v="2"/>
    <x v="2"/>
    <x v="136"/>
    <x v="0"/>
    <x v="130"/>
    <x v="10"/>
    <x v="1"/>
    <x v="1"/>
    <x v="1"/>
    <x v="1"/>
    <x v="1"/>
  </r>
  <r>
    <x v="151"/>
    <x v="0"/>
    <x v="151"/>
    <x v="151"/>
    <x v="86"/>
    <x v="2"/>
    <x v="1"/>
    <x v="137"/>
    <x v="3"/>
    <x v="131"/>
    <x v="11"/>
    <x v="1"/>
    <x v="1"/>
    <x v="1"/>
    <x v="1"/>
    <x v="1"/>
  </r>
  <r>
    <x v="152"/>
    <x v="0"/>
    <x v="152"/>
    <x v="152"/>
    <x v="86"/>
    <x v="2"/>
    <x v="1"/>
    <x v="127"/>
    <x v="1"/>
    <x v="132"/>
    <x v="38"/>
    <x v="1"/>
    <x v="1"/>
    <x v="1"/>
    <x v="1"/>
    <x v="1"/>
  </r>
  <r>
    <x v="153"/>
    <x v="0"/>
    <x v="153"/>
    <x v="153"/>
    <x v="87"/>
    <x v="2"/>
    <x v="5"/>
    <x v="138"/>
    <x v="1"/>
    <x v="133"/>
    <x v="42"/>
    <x v="1"/>
    <x v="1"/>
    <x v="1"/>
    <x v="1"/>
    <x v="1"/>
  </r>
  <r>
    <x v="154"/>
    <x v="3"/>
    <x v="154"/>
    <x v="154"/>
    <x v="88"/>
    <x v="2"/>
    <x v="6"/>
    <x v="139"/>
    <x v="2"/>
    <x v="134"/>
    <x v="14"/>
    <x v="1"/>
    <x v="1"/>
    <x v="1"/>
    <x v="1"/>
    <x v="1"/>
  </r>
  <r>
    <x v="155"/>
    <x v="0"/>
    <x v="155"/>
    <x v="155"/>
    <x v="88"/>
    <x v="2"/>
    <x v="1"/>
    <x v="140"/>
    <x v="1"/>
    <x v="135"/>
    <x v="43"/>
    <x v="1"/>
    <x v="1"/>
    <x v="1"/>
    <x v="1"/>
    <x v="1"/>
  </r>
  <r>
    <x v="156"/>
    <x v="3"/>
    <x v="156"/>
    <x v="156"/>
    <x v="37"/>
    <x v="2"/>
    <x v="6"/>
    <x v="141"/>
    <x v="2"/>
    <x v="136"/>
    <x v="13"/>
    <x v="1"/>
    <x v="1"/>
    <x v="1"/>
    <x v="1"/>
    <x v="1"/>
  </r>
  <r>
    <x v="157"/>
    <x v="0"/>
    <x v="157"/>
    <x v="157"/>
    <x v="81"/>
    <x v="2"/>
    <x v="4"/>
    <x v="142"/>
    <x v="1"/>
    <x v="123"/>
    <x v="44"/>
    <x v="1"/>
    <x v="1"/>
    <x v="1"/>
    <x v="1"/>
    <x v="1"/>
  </r>
  <r>
    <x v="158"/>
    <x v="0"/>
    <x v="158"/>
    <x v="158"/>
    <x v="89"/>
    <x v="2"/>
    <x v="3"/>
    <x v="143"/>
    <x v="1"/>
    <x v="137"/>
    <x v="45"/>
    <x v="1"/>
    <x v="1"/>
    <x v="1"/>
    <x v="1"/>
    <x v="1"/>
  </r>
  <r>
    <x v="159"/>
    <x v="3"/>
    <x v="159"/>
    <x v="159"/>
    <x v="90"/>
    <x v="2"/>
    <x v="1"/>
    <x v="144"/>
    <x v="1"/>
    <x v="138"/>
    <x v="38"/>
    <x v="1"/>
    <x v="1"/>
    <x v="1"/>
    <x v="1"/>
    <x v="1"/>
  </r>
  <r>
    <x v="160"/>
    <x v="3"/>
    <x v="160"/>
    <x v="160"/>
    <x v="2"/>
    <x v="2"/>
    <x v="2"/>
    <x v="145"/>
    <x v="0"/>
    <x v="139"/>
    <x v="10"/>
    <x v="1"/>
    <x v="1"/>
    <x v="1"/>
    <x v="1"/>
    <x v="1"/>
  </r>
  <r>
    <x v="161"/>
    <x v="3"/>
    <x v="161"/>
    <x v="161"/>
    <x v="41"/>
    <x v="2"/>
    <x v="2"/>
    <x v="146"/>
    <x v="1"/>
    <x v="140"/>
    <x v="46"/>
    <x v="1"/>
    <x v="1"/>
    <x v="1"/>
    <x v="1"/>
    <x v="1"/>
  </r>
  <r>
    <x v="162"/>
    <x v="0"/>
    <x v="162"/>
    <x v="162"/>
    <x v="91"/>
    <x v="2"/>
    <x v="1"/>
    <x v="147"/>
    <x v="0"/>
    <x v="141"/>
    <x v="47"/>
    <x v="1"/>
    <x v="1"/>
    <x v="1"/>
    <x v="1"/>
    <x v="1"/>
  </r>
  <r>
    <x v="163"/>
    <x v="0"/>
    <x v="163"/>
    <x v="163"/>
    <x v="92"/>
    <x v="2"/>
    <x v="0"/>
    <x v="148"/>
    <x v="2"/>
    <x v="142"/>
    <x v="38"/>
    <x v="1"/>
    <x v="1"/>
    <x v="1"/>
    <x v="1"/>
    <x v="1"/>
  </r>
  <r>
    <x v="164"/>
    <x v="3"/>
    <x v="164"/>
    <x v="164"/>
    <x v="92"/>
    <x v="2"/>
    <x v="5"/>
    <x v="149"/>
    <x v="3"/>
    <x v="143"/>
    <x v="11"/>
    <x v="1"/>
    <x v="1"/>
    <x v="1"/>
    <x v="1"/>
    <x v="1"/>
  </r>
  <r>
    <x v="165"/>
    <x v="0"/>
    <x v="165"/>
    <x v="165"/>
    <x v="93"/>
    <x v="2"/>
    <x v="2"/>
    <x v="150"/>
    <x v="1"/>
    <x v="144"/>
    <x v="10"/>
    <x v="1"/>
    <x v="1"/>
    <x v="1"/>
    <x v="1"/>
    <x v="1"/>
  </r>
  <r>
    <x v="166"/>
    <x v="0"/>
    <x v="166"/>
    <x v="166"/>
    <x v="94"/>
    <x v="2"/>
    <x v="6"/>
    <x v="151"/>
    <x v="2"/>
    <x v="145"/>
    <x v="13"/>
    <x v="1"/>
    <x v="1"/>
    <x v="1"/>
    <x v="1"/>
    <x v="1"/>
  </r>
  <r>
    <x v="167"/>
    <x v="0"/>
    <x v="167"/>
    <x v="167"/>
    <x v="94"/>
    <x v="2"/>
    <x v="1"/>
    <x v="152"/>
    <x v="1"/>
    <x v="146"/>
    <x v="38"/>
    <x v="1"/>
    <x v="1"/>
    <x v="1"/>
    <x v="1"/>
    <x v="1"/>
  </r>
  <r>
    <x v="168"/>
    <x v="3"/>
    <x v="168"/>
    <x v="168"/>
    <x v="39"/>
    <x v="2"/>
    <x v="2"/>
    <x v="153"/>
    <x v="0"/>
    <x v="147"/>
    <x v="10"/>
    <x v="1"/>
    <x v="1"/>
    <x v="1"/>
    <x v="1"/>
    <x v="1"/>
  </r>
  <r>
    <x v="169"/>
    <x v="0"/>
    <x v="169"/>
    <x v="169"/>
    <x v="39"/>
    <x v="2"/>
    <x v="4"/>
    <x v="154"/>
    <x v="1"/>
    <x v="148"/>
    <x v="14"/>
    <x v="1"/>
    <x v="1"/>
    <x v="1"/>
    <x v="1"/>
    <x v="1"/>
  </r>
  <r>
    <x v="170"/>
    <x v="3"/>
    <x v="170"/>
    <x v="170"/>
    <x v="47"/>
    <x v="2"/>
    <x v="6"/>
    <x v="155"/>
    <x v="2"/>
    <x v="149"/>
    <x v="13"/>
    <x v="1"/>
    <x v="1"/>
    <x v="1"/>
    <x v="1"/>
    <x v="1"/>
  </r>
  <r>
    <x v="171"/>
    <x v="0"/>
    <x v="171"/>
    <x v="171"/>
    <x v="47"/>
    <x v="2"/>
    <x v="6"/>
    <x v="156"/>
    <x v="2"/>
    <x v="150"/>
    <x v="13"/>
    <x v="1"/>
    <x v="1"/>
    <x v="1"/>
    <x v="1"/>
    <x v="1"/>
  </r>
  <r>
    <x v="172"/>
    <x v="0"/>
    <x v="172"/>
    <x v="172"/>
    <x v="47"/>
    <x v="2"/>
    <x v="6"/>
    <x v="157"/>
    <x v="2"/>
    <x v="151"/>
    <x v="13"/>
    <x v="1"/>
    <x v="1"/>
    <x v="1"/>
    <x v="1"/>
    <x v="1"/>
  </r>
  <r>
    <x v="173"/>
    <x v="0"/>
    <x v="173"/>
    <x v="173"/>
    <x v="47"/>
    <x v="2"/>
    <x v="6"/>
    <x v="158"/>
    <x v="2"/>
    <x v="152"/>
    <x v="13"/>
    <x v="1"/>
    <x v="1"/>
    <x v="1"/>
    <x v="1"/>
    <x v="1"/>
  </r>
  <r>
    <x v="174"/>
    <x v="0"/>
    <x v="174"/>
    <x v="174"/>
    <x v="47"/>
    <x v="2"/>
    <x v="6"/>
    <x v="159"/>
    <x v="0"/>
    <x v="153"/>
    <x v="14"/>
    <x v="1"/>
    <x v="1"/>
    <x v="1"/>
    <x v="1"/>
    <x v="1"/>
  </r>
  <r>
    <x v="175"/>
    <x v="0"/>
    <x v="175"/>
    <x v="175"/>
    <x v="47"/>
    <x v="2"/>
    <x v="6"/>
    <x v="32"/>
    <x v="2"/>
    <x v="154"/>
    <x v="13"/>
    <x v="1"/>
    <x v="1"/>
    <x v="1"/>
    <x v="1"/>
    <x v="1"/>
  </r>
  <r>
    <x v="176"/>
    <x v="0"/>
    <x v="176"/>
    <x v="176"/>
    <x v="47"/>
    <x v="2"/>
    <x v="6"/>
    <x v="112"/>
    <x v="2"/>
    <x v="155"/>
    <x v="13"/>
    <x v="1"/>
    <x v="1"/>
    <x v="1"/>
    <x v="1"/>
    <x v="1"/>
  </r>
  <r>
    <x v="177"/>
    <x v="0"/>
    <x v="177"/>
    <x v="177"/>
    <x v="47"/>
    <x v="2"/>
    <x v="6"/>
    <x v="160"/>
    <x v="2"/>
    <x v="156"/>
    <x v="13"/>
    <x v="1"/>
    <x v="1"/>
    <x v="1"/>
    <x v="1"/>
    <x v="1"/>
  </r>
  <r>
    <x v="178"/>
    <x v="3"/>
    <x v="178"/>
    <x v="178"/>
    <x v="47"/>
    <x v="2"/>
    <x v="6"/>
    <x v="161"/>
    <x v="2"/>
    <x v="157"/>
    <x v="13"/>
    <x v="1"/>
    <x v="1"/>
    <x v="1"/>
    <x v="1"/>
    <x v="1"/>
  </r>
  <r>
    <x v="179"/>
    <x v="3"/>
    <x v="179"/>
    <x v="179"/>
    <x v="95"/>
    <x v="2"/>
    <x v="6"/>
    <x v="162"/>
    <x v="1"/>
    <x v="158"/>
    <x v="48"/>
    <x v="1"/>
    <x v="1"/>
    <x v="1"/>
    <x v="1"/>
    <x v="1"/>
  </r>
  <r>
    <x v="180"/>
    <x v="0"/>
    <x v="180"/>
    <x v="180"/>
    <x v="96"/>
    <x v="2"/>
    <x v="6"/>
    <x v="163"/>
    <x v="2"/>
    <x v="159"/>
    <x v="13"/>
    <x v="1"/>
    <x v="1"/>
    <x v="1"/>
    <x v="1"/>
    <x v="1"/>
  </r>
  <r>
    <x v="181"/>
    <x v="0"/>
    <x v="181"/>
    <x v="181"/>
    <x v="96"/>
    <x v="2"/>
    <x v="4"/>
    <x v="164"/>
    <x v="1"/>
    <x v="160"/>
    <x v="19"/>
    <x v="1"/>
    <x v="1"/>
    <x v="1"/>
    <x v="1"/>
    <x v="1"/>
  </r>
  <r>
    <x v="182"/>
    <x v="0"/>
    <x v="182"/>
    <x v="182"/>
    <x v="96"/>
    <x v="2"/>
    <x v="2"/>
    <x v="165"/>
    <x v="2"/>
    <x v="161"/>
    <x v="49"/>
    <x v="1"/>
    <x v="1"/>
    <x v="1"/>
    <x v="1"/>
    <x v="1"/>
  </r>
  <r>
    <x v="183"/>
    <x v="4"/>
    <x v="183"/>
    <x v="183"/>
    <x v="97"/>
    <x v="2"/>
    <x v="6"/>
    <x v="166"/>
    <x v="1"/>
    <x v="162"/>
    <x v="50"/>
    <x v="1"/>
    <x v="1"/>
    <x v="1"/>
    <x v="1"/>
    <x v="1"/>
  </r>
  <r>
    <x v="184"/>
    <x v="3"/>
    <x v="184"/>
    <x v="184"/>
    <x v="50"/>
    <x v="2"/>
    <x v="5"/>
    <x v="115"/>
    <x v="1"/>
    <x v="163"/>
    <x v="51"/>
    <x v="1"/>
    <x v="1"/>
    <x v="1"/>
    <x v="1"/>
    <x v="1"/>
  </r>
  <r>
    <x v="185"/>
    <x v="0"/>
    <x v="185"/>
    <x v="185"/>
    <x v="91"/>
    <x v="2"/>
    <x v="3"/>
    <x v="167"/>
    <x v="1"/>
    <x v="164"/>
    <x v="52"/>
    <x v="1"/>
    <x v="1"/>
    <x v="1"/>
    <x v="1"/>
    <x v="1"/>
  </r>
  <r>
    <x v="186"/>
    <x v="3"/>
    <x v="186"/>
    <x v="186"/>
    <x v="48"/>
    <x v="2"/>
    <x v="6"/>
    <x v="160"/>
    <x v="1"/>
    <x v="165"/>
    <x v="53"/>
    <x v="1"/>
    <x v="1"/>
    <x v="1"/>
    <x v="1"/>
    <x v="1"/>
  </r>
  <r>
    <x v="187"/>
    <x v="0"/>
    <x v="187"/>
    <x v="187"/>
    <x v="48"/>
    <x v="2"/>
    <x v="1"/>
    <x v="168"/>
    <x v="1"/>
    <x v="166"/>
    <x v="38"/>
    <x v="1"/>
    <x v="1"/>
    <x v="1"/>
    <x v="1"/>
    <x v="1"/>
  </r>
  <r>
    <x v="188"/>
    <x v="0"/>
    <x v="188"/>
    <x v="188"/>
    <x v="48"/>
    <x v="2"/>
    <x v="1"/>
    <x v="169"/>
    <x v="1"/>
    <x v="167"/>
    <x v="38"/>
    <x v="1"/>
    <x v="1"/>
    <x v="1"/>
    <x v="1"/>
    <x v="1"/>
  </r>
  <r>
    <x v="189"/>
    <x v="3"/>
    <x v="189"/>
    <x v="189"/>
    <x v="48"/>
    <x v="2"/>
    <x v="5"/>
    <x v="170"/>
    <x v="2"/>
    <x v="168"/>
    <x v="54"/>
    <x v="1"/>
    <x v="1"/>
    <x v="1"/>
    <x v="1"/>
    <x v="1"/>
  </r>
  <r>
    <x v="190"/>
    <x v="3"/>
    <x v="190"/>
    <x v="190"/>
    <x v="48"/>
    <x v="2"/>
    <x v="5"/>
    <x v="171"/>
    <x v="3"/>
    <x v="169"/>
    <x v="11"/>
    <x v="1"/>
    <x v="1"/>
    <x v="1"/>
    <x v="1"/>
    <x v="1"/>
  </r>
  <r>
    <x v="191"/>
    <x v="0"/>
    <x v="191"/>
    <x v="191"/>
    <x v="98"/>
    <x v="2"/>
    <x v="1"/>
    <x v="172"/>
    <x v="1"/>
    <x v="170"/>
    <x v="38"/>
    <x v="1"/>
    <x v="1"/>
    <x v="1"/>
    <x v="1"/>
    <x v="1"/>
  </r>
  <r>
    <x v="192"/>
    <x v="0"/>
    <x v="192"/>
    <x v="192"/>
    <x v="46"/>
    <x v="2"/>
    <x v="1"/>
    <x v="173"/>
    <x v="1"/>
    <x v="171"/>
    <x v="38"/>
    <x v="1"/>
    <x v="1"/>
    <x v="1"/>
    <x v="1"/>
    <x v="1"/>
  </r>
  <r>
    <x v="193"/>
    <x v="0"/>
    <x v="193"/>
    <x v="193"/>
    <x v="46"/>
    <x v="2"/>
    <x v="1"/>
    <x v="174"/>
    <x v="1"/>
    <x v="172"/>
    <x v="38"/>
    <x v="1"/>
    <x v="1"/>
    <x v="1"/>
    <x v="1"/>
    <x v="1"/>
  </r>
  <r>
    <x v="194"/>
    <x v="0"/>
    <x v="194"/>
    <x v="194"/>
    <x v="46"/>
    <x v="2"/>
    <x v="1"/>
    <x v="175"/>
    <x v="1"/>
    <x v="173"/>
    <x v="38"/>
    <x v="1"/>
    <x v="1"/>
    <x v="1"/>
    <x v="1"/>
    <x v="1"/>
  </r>
  <r>
    <x v="195"/>
    <x v="3"/>
    <x v="195"/>
    <x v="195"/>
    <x v="46"/>
    <x v="2"/>
    <x v="1"/>
    <x v="152"/>
    <x v="3"/>
    <x v="174"/>
    <x v="11"/>
    <x v="1"/>
    <x v="1"/>
    <x v="1"/>
    <x v="1"/>
    <x v="1"/>
  </r>
  <r>
    <x v="196"/>
    <x v="0"/>
    <x v="196"/>
    <x v="196"/>
    <x v="46"/>
    <x v="2"/>
    <x v="0"/>
    <x v="176"/>
    <x v="2"/>
    <x v="175"/>
    <x v="55"/>
    <x v="1"/>
    <x v="1"/>
    <x v="1"/>
    <x v="1"/>
    <x v="1"/>
  </r>
  <r>
    <x v="197"/>
    <x v="0"/>
    <x v="197"/>
    <x v="197"/>
    <x v="46"/>
    <x v="2"/>
    <x v="0"/>
    <x v="177"/>
    <x v="2"/>
    <x v="176"/>
    <x v="56"/>
    <x v="1"/>
    <x v="1"/>
    <x v="1"/>
    <x v="1"/>
    <x v="1"/>
  </r>
  <r>
    <x v="198"/>
    <x v="0"/>
    <x v="198"/>
    <x v="198"/>
    <x v="99"/>
    <x v="2"/>
    <x v="4"/>
    <x v="154"/>
    <x v="0"/>
    <x v="177"/>
    <x v="14"/>
    <x v="1"/>
    <x v="1"/>
    <x v="1"/>
    <x v="1"/>
    <x v="1"/>
  </r>
  <r>
    <x v="199"/>
    <x v="0"/>
    <x v="199"/>
    <x v="199"/>
    <x v="36"/>
    <x v="2"/>
    <x v="1"/>
    <x v="178"/>
    <x v="0"/>
    <x v="178"/>
    <x v="47"/>
    <x v="1"/>
    <x v="1"/>
    <x v="1"/>
    <x v="1"/>
    <x v="1"/>
  </r>
  <r>
    <x v="200"/>
    <x v="0"/>
    <x v="200"/>
    <x v="200"/>
    <x v="92"/>
    <x v="2"/>
    <x v="1"/>
    <x v="179"/>
    <x v="1"/>
    <x v="179"/>
    <x v="57"/>
    <x v="1"/>
    <x v="1"/>
    <x v="1"/>
    <x v="1"/>
    <x v="1"/>
  </r>
  <r>
    <x v="201"/>
    <x v="0"/>
    <x v="201"/>
    <x v="201"/>
    <x v="100"/>
    <x v="2"/>
    <x v="1"/>
    <x v="180"/>
    <x v="1"/>
    <x v="180"/>
    <x v="38"/>
    <x v="1"/>
    <x v="1"/>
    <x v="1"/>
    <x v="1"/>
    <x v="1"/>
  </r>
  <r>
    <x v="202"/>
    <x v="0"/>
    <x v="202"/>
    <x v="202"/>
    <x v="51"/>
    <x v="2"/>
    <x v="1"/>
    <x v="181"/>
    <x v="2"/>
    <x v="181"/>
    <x v="58"/>
    <x v="1"/>
    <x v="1"/>
    <x v="1"/>
    <x v="1"/>
    <x v="1"/>
  </r>
  <r>
    <x v="203"/>
    <x v="3"/>
    <x v="203"/>
    <x v="203"/>
    <x v="101"/>
    <x v="2"/>
    <x v="3"/>
    <x v="182"/>
    <x v="2"/>
    <x v="182"/>
    <x v="59"/>
    <x v="1"/>
    <x v="1"/>
    <x v="1"/>
    <x v="1"/>
    <x v="1"/>
  </r>
  <r>
    <x v="204"/>
    <x v="3"/>
    <x v="204"/>
    <x v="204"/>
    <x v="102"/>
    <x v="2"/>
    <x v="2"/>
    <x v="183"/>
    <x v="0"/>
    <x v="183"/>
    <x v="10"/>
    <x v="1"/>
    <x v="1"/>
    <x v="1"/>
    <x v="1"/>
    <x v="1"/>
  </r>
  <r>
    <x v="205"/>
    <x v="0"/>
    <x v="205"/>
    <x v="205"/>
    <x v="103"/>
    <x v="2"/>
    <x v="4"/>
    <x v="184"/>
    <x v="1"/>
    <x v="184"/>
    <x v="19"/>
    <x v="1"/>
    <x v="1"/>
    <x v="1"/>
    <x v="1"/>
    <x v="1"/>
  </r>
  <r>
    <x v="206"/>
    <x v="0"/>
    <x v="206"/>
    <x v="206"/>
    <x v="104"/>
    <x v="2"/>
    <x v="1"/>
    <x v="185"/>
    <x v="1"/>
    <x v="185"/>
    <x v="60"/>
    <x v="1"/>
    <x v="1"/>
    <x v="1"/>
    <x v="1"/>
    <x v="1"/>
  </r>
  <r>
    <x v="207"/>
    <x v="3"/>
    <x v="207"/>
    <x v="207"/>
    <x v="105"/>
    <x v="2"/>
    <x v="1"/>
    <x v="186"/>
    <x v="0"/>
    <x v="186"/>
    <x v="47"/>
    <x v="1"/>
    <x v="1"/>
    <x v="1"/>
    <x v="1"/>
    <x v="1"/>
  </r>
  <r>
    <x v="208"/>
    <x v="0"/>
    <x v="208"/>
    <x v="208"/>
    <x v="106"/>
    <x v="2"/>
    <x v="5"/>
    <x v="187"/>
    <x v="1"/>
    <x v="187"/>
    <x v="61"/>
    <x v="1"/>
    <x v="1"/>
    <x v="1"/>
    <x v="1"/>
    <x v="1"/>
  </r>
  <r>
    <x v="209"/>
    <x v="0"/>
    <x v="209"/>
    <x v="209"/>
    <x v="50"/>
    <x v="2"/>
    <x v="1"/>
    <x v="188"/>
    <x v="0"/>
    <x v="188"/>
    <x v="47"/>
    <x v="1"/>
    <x v="1"/>
    <x v="1"/>
    <x v="1"/>
    <x v="1"/>
  </r>
  <r>
    <x v="210"/>
    <x v="0"/>
    <x v="210"/>
    <x v="210"/>
    <x v="30"/>
    <x v="2"/>
    <x v="5"/>
    <x v="112"/>
    <x v="1"/>
    <x v="189"/>
    <x v="62"/>
    <x v="1"/>
    <x v="1"/>
    <x v="1"/>
    <x v="1"/>
    <x v="1"/>
  </r>
  <r>
    <x v="211"/>
    <x v="0"/>
    <x v="211"/>
    <x v="211"/>
    <x v="107"/>
    <x v="2"/>
    <x v="1"/>
    <x v="175"/>
    <x v="1"/>
    <x v="190"/>
    <x v="47"/>
    <x v="1"/>
    <x v="1"/>
    <x v="1"/>
    <x v="1"/>
    <x v="1"/>
  </r>
  <r>
    <x v="212"/>
    <x v="3"/>
    <x v="212"/>
    <x v="212"/>
    <x v="54"/>
    <x v="2"/>
    <x v="5"/>
    <x v="189"/>
    <x v="2"/>
    <x v="191"/>
    <x v="54"/>
    <x v="1"/>
    <x v="1"/>
    <x v="1"/>
    <x v="1"/>
    <x v="1"/>
  </r>
  <r>
    <x v="213"/>
    <x v="2"/>
    <x v="213"/>
    <x v="213"/>
    <x v="108"/>
    <x v="2"/>
    <x v="1"/>
    <x v="190"/>
    <x v="1"/>
    <x v="192"/>
    <x v="38"/>
    <x v="1"/>
    <x v="1"/>
    <x v="1"/>
    <x v="1"/>
    <x v="1"/>
  </r>
  <r>
    <x v="214"/>
    <x v="3"/>
    <x v="214"/>
    <x v="214"/>
    <x v="109"/>
    <x v="2"/>
    <x v="5"/>
    <x v="191"/>
    <x v="2"/>
    <x v="193"/>
    <x v="54"/>
    <x v="1"/>
    <x v="1"/>
    <x v="1"/>
    <x v="1"/>
    <x v="1"/>
  </r>
  <r>
    <x v="215"/>
    <x v="0"/>
    <x v="215"/>
    <x v="215"/>
    <x v="29"/>
    <x v="2"/>
    <x v="5"/>
    <x v="192"/>
    <x v="1"/>
    <x v="194"/>
    <x v="63"/>
    <x v="1"/>
    <x v="1"/>
    <x v="1"/>
    <x v="1"/>
    <x v="1"/>
  </r>
  <r>
    <x v="216"/>
    <x v="0"/>
    <x v="216"/>
    <x v="216"/>
    <x v="110"/>
    <x v="2"/>
    <x v="6"/>
    <x v="193"/>
    <x v="2"/>
    <x v="195"/>
    <x v="64"/>
    <x v="1"/>
    <x v="1"/>
    <x v="1"/>
    <x v="1"/>
    <x v="1"/>
  </r>
  <r>
    <x v="217"/>
    <x v="0"/>
    <x v="217"/>
    <x v="217"/>
    <x v="111"/>
    <x v="2"/>
    <x v="4"/>
    <x v="99"/>
    <x v="0"/>
    <x v="196"/>
    <x v="18"/>
    <x v="1"/>
    <x v="1"/>
    <x v="1"/>
    <x v="1"/>
    <x v="1"/>
  </r>
  <r>
    <x v="218"/>
    <x v="0"/>
    <x v="218"/>
    <x v="218"/>
    <x v="112"/>
    <x v="2"/>
    <x v="2"/>
    <x v="194"/>
    <x v="2"/>
    <x v="197"/>
    <x v="65"/>
    <x v="1"/>
    <x v="1"/>
    <x v="1"/>
    <x v="1"/>
    <x v="1"/>
  </r>
  <r>
    <x v="219"/>
    <x v="0"/>
    <x v="219"/>
    <x v="219"/>
    <x v="14"/>
    <x v="2"/>
    <x v="4"/>
    <x v="195"/>
    <x v="0"/>
    <x v="198"/>
    <x v="18"/>
    <x v="1"/>
    <x v="1"/>
    <x v="1"/>
    <x v="1"/>
    <x v="1"/>
  </r>
  <r>
    <x v="220"/>
    <x v="1"/>
    <x v="220"/>
    <x v="220"/>
    <x v="14"/>
    <x v="2"/>
    <x v="4"/>
    <x v="196"/>
    <x v="1"/>
    <x v="199"/>
    <x v="19"/>
    <x v="1"/>
    <x v="1"/>
    <x v="1"/>
    <x v="1"/>
    <x v="1"/>
  </r>
  <r>
    <x v="221"/>
    <x v="0"/>
    <x v="221"/>
    <x v="221"/>
    <x v="113"/>
    <x v="2"/>
    <x v="0"/>
    <x v="197"/>
    <x v="2"/>
    <x v="200"/>
    <x v="66"/>
    <x v="1"/>
    <x v="1"/>
    <x v="1"/>
    <x v="1"/>
    <x v="1"/>
  </r>
  <r>
    <x v="222"/>
    <x v="0"/>
    <x v="222"/>
    <x v="222"/>
    <x v="59"/>
    <x v="2"/>
    <x v="5"/>
    <x v="198"/>
    <x v="2"/>
    <x v="201"/>
    <x v="66"/>
    <x v="1"/>
    <x v="1"/>
    <x v="1"/>
    <x v="1"/>
    <x v="1"/>
  </r>
  <r>
    <x v="223"/>
    <x v="0"/>
    <x v="223"/>
    <x v="223"/>
    <x v="114"/>
    <x v="2"/>
    <x v="2"/>
    <x v="199"/>
    <x v="2"/>
    <x v="202"/>
    <x v="65"/>
    <x v="1"/>
    <x v="1"/>
    <x v="1"/>
    <x v="1"/>
    <x v="1"/>
  </r>
  <r>
    <x v="224"/>
    <x v="0"/>
    <x v="224"/>
    <x v="224"/>
    <x v="115"/>
    <x v="2"/>
    <x v="4"/>
    <x v="200"/>
    <x v="2"/>
    <x v="203"/>
    <x v="67"/>
    <x v="1"/>
    <x v="1"/>
    <x v="1"/>
    <x v="1"/>
    <x v="1"/>
  </r>
  <r>
    <x v="225"/>
    <x v="0"/>
    <x v="225"/>
    <x v="225"/>
    <x v="116"/>
    <x v="2"/>
    <x v="4"/>
    <x v="201"/>
    <x v="2"/>
    <x v="204"/>
    <x v="67"/>
    <x v="1"/>
    <x v="1"/>
    <x v="1"/>
    <x v="1"/>
    <x v="1"/>
  </r>
  <r>
    <x v="226"/>
    <x v="3"/>
    <x v="226"/>
    <x v="226"/>
    <x v="117"/>
    <x v="2"/>
    <x v="1"/>
    <x v="202"/>
    <x v="2"/>
    <x v="205"/>
    <x v="68"/>
    <x v="1"/>
    <x v="1"/>
    <x v="1"/>
    <x v="1"/>
    <x v="1"/>
  </r>
  <r>
    <x v="227"/>
    <x v="0"/>
    <x v="227"/>
    <x v="227"/>
    <x v="118"/>
    <x v="2"/>
    <x v="3"/>
    <x v="136"/>
    <x v="2"/>
    <x v="206"/>
    <x v="69"/>
    <x v="1"/>
    <x v="1"/>
    <x v="1"/>
    <x v="1"/>
    <x v="1"/>
  </r>
  <r>
    <x v="228"/>
    <x v="3"/>
    <x v="228"/>
    <x v="228"/>
    <x v="119"/>
    <x v="2"/>
    <x v="3"/>
    <x v="203"/>
    <x v="2"/>
    <x v="207"/>
    <x v="59"/>
    <x v="1"/>
    <x v="1"/>
    <x v="1"/>
    <x v="1"/>
    <x v="1"/>
  </r>
  <r>
    <x v="229"/>
    <x v="0"/>
    <x v="229"/>
    <x v="229"/>
    <x v="84"/>
    <x v="2"/>
    <x v="6"/>
    <x v="204"/>
    <x v="2"/>
    <x v="208"/>
    <x v="70"/>
    <x v="1"/>
    <x v="1"/>
    <x v="1"/>
    <x v="1"/>
    <x v="1"/>
  </r>
  <r>
    <x v="230"/>
    <x v="0"/>
    <x v="230"/>
    <x v="230"/>
    <x v="26"/>
    <x v="3"/>
    <x v="0"/>
    <x v="205"/>
    <x v="1"/>
    <x v="209"/>
    <x v="71"/>
    <x v="1"/>
    <x v="1"/>
    <x v="1"/>
    <x v="1"/>
    <x v="1"/>
  </r>
  <r>
    <x v="231"/>
    <x v="3"/>
    <x v="231"/>
    <x v="231"/>
    <x v="120"/>
    <x v="3"/>
    <x v="5"/>
    <x v="206"/>
    <x v="2"/>
    <x v="210"/>
    <x v="72"/>
    <x v="1"/>
    <x v="1"/>
    <x v="1"/>
    <x v="1"/>
    <x v="1"/>
  </r>
  <r>
    <x v="232"/>
    <x v="0"/>
    <x v="232"/>
    <x v="232"/>
    <x v="9"/>
    <x v="3"/>
    <x v="3"/>
    <x v="207"/>
    <x v="2"/>
    <x v="211"/>
    <x v="73"/>
    <x v="1"/>
    <x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数据透视表1" cacheId="2" applyNumberFormats="0" applyBorderFormats="0" applyFontFormats="0" applyPatternFormats="0" applyAlignmentFormats="0" applyWidthHeightFormats="1" dataCaption="值" updatedVersion="5" minRefreshableVersion="3" createdVersion="5" indent="0" compact="0" compactData="0" multipleFieldFilters="0">
  <location ref="A3:B8" firstHeaderRow="1" firstDataRow="1" firstDataCol="1"/>
  <pivotFields count="11">
    <pivotField compact="0" outline="0" showAll="0">
      <items count="2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0"/>
        <item t="default"/>
      </items>
    </pivotField>
    <pivotField compact="0" outline="0" showAll="0"/>
    <pivotField compact="0" outline="0" showAll="0"/>
    <pivotField compact="0" outline="0" showAll="0"/>
    <pivotField compact="0" outline="0" showAll="0"/>
    <pivotField axis="axisRow" compact="0" outline="0" showAll="0">
      <items count="5">
        <item x="2"/>
        <item x="1"/>
        <item x="0"/>
        <item x="3"/>
        <item t="default"/>
      </items>
    </pivotField>
    <pivotField compact="0" outline="0" showAll="0"/>
    <pivotField dataField="1" compact="0" outline="0" showAll="0">
      <items count="209">
        <item x="140"/>
        <item x="196"/>
        <item x="192"/>
        <item x="175"/>
        <item x="166"/>
        <item x="91"/>
        <item x="32"/>
        <item x="29"/>
        <item x="108"/>
        <item x="53"/>
        <item x="75"/>
        <item x="77"/>
        <item x="58"/>
        <item x="78"/>
        <item x="176"/>
        <item x="83"/>
        <item x="124"/>
        <item x="50"/>
        <item x="100"/>
        <item x="136"/>
        <item x="112"/>
        <item x="121"/>
        <item x="34"/>
        <item x="99"/>
        <item x="80"/>
        <item x="81"/>
        <item x="27"/>
        <item x="37"/>
        <item x="129"/>
        <item x="193"/>
        <item x="36"/>
        <item x="152"/>
        <item x="61"/>
        <item x="188"/>
        <item x="173"/>
        <item x="48"/>
        <item x="26"/>
        <item x="190"/>
        <item x="88"/>
        <item x="79"/>
        <item x="97"/>
        <item x="145"/>
        <item x="184"/>
        <item x="66"/>
        <item x="65"/>
        <item x="133"/>
        <item x="51"/>
        <item x="160"/>
        <item x="90"/>
        <item x="177"/>
        <item x="98"/>
        <item x="146"/>
        <item x="94"/>
        <item x="95"/>
        <item x="25"/>
        <item x="49"/>
        <item x="156"/>
        <item x="43"/>
        <item x="45"/>
        <item x="187"/>
        <item x="52"/>
        <item x="186"/>
        <item x="33"/>
        <item x="154"/>
        <item x="159"/>
        <item x="9"/>
        <item x="7"/>
        <item x="204"/>
        <item x="179"/>
        <item x="150"/>
        <item x="42"/>
        <item x="35"/>
        <item x="128"/>
        <item x="86"/>
        <item x="137"/>
        <item x="185"/>
        <item x="155"/>
        <item x="167"/>
        <item x="207"/>
        <item x="180"/>
        <item x="158"/>
        <item x="120"/>
        <item x="202"/>
        <item x="178"/>
        <item x="143"/>
        <item x="165"/>
        <item x="174"/>
        <item x="163"/>
        <item x="44"/>
        <item x="162"/>
        <item x="40"/>
        <item x="46"/>
        <item x="39"/>
        <item x="119"/>
        <item x="0"/>
        <item x="169"/>
        <item x="63"/>
        <item x="116"/>
        <item x="168"/>
        <item x="11"/>
        <item x="172"/>
        <item x="107"/>
        <item x="127"/>
        <item x="135"/>
        <item x="139"/>
        <item x="115"/>
        <item x="151"/>
        <item x="164"/>
        <item x="117"/>
        <item x="41"/>
        <item x="147"/>
        <item x="148"/>
        <item x="6"/>
        <item x="200"/>
        <item x="20"/>
        <item x="13"/>
        <item x="101"/>
        <item x="72"/>
        <item x="198"/>
        <item x="205"/>
        <item x="55"/>
        <item x="161"/>
        <item x="38"/>
        <item x="60"/>
        <item x="76"/>
        <item x="47"/>
        <item x="181"/>
        <item x="195"/>
        <item x="206"/>
        <item x="113"/>
        <item x="96"/>
        <item x="89"/>
        <item x="126"/>
        <item x="194"/>
        <item x="201"/>
        <item x="93"/>
        <item x="57"/>
        <item x="191"/>
        <item x="56"/>
        <item x="183"/>
        <item x="105"/>
        <item x="142"/>
        <item x="125"/>
        <item x="23"/>
        <item x="5"/>
        <item x="199"/>
        <item x="21"/>
        <item x="12"/>
        <item x="182"/>
        <item x="4"/>
        <item x="68"/>
        <item x="123"/>
        <item x="19"/>
        <item x="203"/>
        <item x="157"/>
        <item x="138"/>
        <item x="102"/>
        <item x="14"/>
        <item x="149"/>
        <item x="132"/>
        <item x="118"/>
        <item x="30"/>
        <item x="84"/>
        <item x="141"/>
        <item x="197"/>
        <item x="8"/>
        <item x="18"/>
        <item x="109"/>
        <item x="87"/>
        <item x="144"/>
        <item x="82"/>
        <item x="59"/>
        <item x="24"/>
        <item x="92"/>
        <item x="85"/>
        <item x="22"/>
        <item x="131"/>
        <item x="189"/>
        <item x="67"/>
        <item x="104"/>
        <item x="17"/>
        <item x="110"/>
        <item x="2"/>
        <item x="103"/>
        <item x="69"/>
        <item x="114"/>
        <item x="73"/>
        <item x="15"/>
        <item x="16"/>
        <item x="134"/>
        <item x="153"/>
        <item x="64"/>
        <item x="170"/>
        <item x="74"/>
        <item x="62"/>
        <item x="31"/>
        <item x="10"/>
        <item x="171"/>
        <item x="130"/>
        <item x="3"/>
        <item x="106"/>
        <item x="122"/>
        <item x="111"/>
        <item x="54"/>
        <item x="1"/>
        <item x="70"/>
        <item x="71"/>
        <item x="28"/>
        <item t="default"/>
      </items>
    </pivotField>
    <pivotField compact="0" outline="0" showAll="0"/>
    <pivotField compact="0" outline="0" showAll="0"/>
    <pivotField compact="0" outline="0" showAll="0"/>
  </pivotFields>
  <rowFields count="1">
    <field x="5"/>
  </rowFields>
  <rowItems count="5">
    <i>
      <x/>
    </i>
    <i>
      <x v="1"/>
    </i>
    <i>
      <x v="2"/>
    </i>
    <i>
      <x v="3"/>
    </i>
    <i t="grand">
      <x/>
    </i>
  </rowItems>
  <colItems count="1">
    <i/>
  </colItems>
  <dataFields count="1">
    <dataField name="求和项:立项金额（万元）"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数据透视表1" cacheId="3" applyNumberFormats="0" applyBorderFormats="0" applyFontFormats="0" applyPatternFormats="0" applyAlignmentFormats="0" applyWidthHeightFormats="1" dataCaption="值" updatedVersion="5" minRefreshableVersion="3" createdVersion="5" indent="0" compact="0" compactData="0" multipleFieldFilters="0">
  <location ref="A3:B8" firstHeaderRow="1" firstDataRow="1" firstDataCol="1"/>
  <pivotFields count="17">
    <pivotField compact="0" outline="0" showAll="0">
      <items count="22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0"/>
        <item t="default"/>
      </items>
    </pivotField>
    <pivotField compact="0" outline="0" showAll="0"/>
    <pivotField dataField="1" compact="0" outline="0" showAll="0">
      <items count="234">
        <item x="65"/>
        <item x="111"/>
        <item x="62"/>
        <item x="63"/>
        <item x="64"/>
        <item x="61"/>
        <item x="77"/>
        <item x="80"/>
        <item x="72"/>
        <item x="69"/>
        <item x="81"/>
        <item x="78"/>
        <item x="28"/>
        <item x="29"/>
        <item x="30"/>
        <item x="75"/>
        <item x="59"/>
        <item x="60"/>
        <item x="68"/>
        <item x="130"/>
        <item x="67"/>
        <item x="117"/>
        <item x="0"/>
        <item x="4"/>
        <item x="5"/>
        <item x="6"/>
        <item x="7"/>
        <item x="8"/>
        <item x="9"/>
        <item x="24"/>
        <item x="119"/>
        <item x="121"/>
        <item x="215"/>
        <item x="138"/>
        <item x="155"/>
        <item x="150"/>
        <item x="202"/>
        <item x="10"/>
        <item x="131"/>
        <item x="11"/>
        <item x="1"/>
        <item x="142"/>
        <item x="210"/>
        <item x="157"/>
        <item x="153"/>
        <item x="2"/>
        <item x="79"/>
        <item x="133"/>
        <item x="146"/>
        <item x="199"/>
        <item x="158"/>
        <item x="200"/>
        <item x="165"/>
        <item x="167"/>
        <item x="209"/>
        <item x="216"/>
        <item x="205"/>
        <item x="73"/>
        <item x="181"/>
        <item x="125"/>
        <item x="185"/>
        <item x="118"/>
        <item x="87"/>
        <item x="31"/>
        <item x="184"/>
        <item x="207"/>
        <item x="161"/>
        <item x="186"/>
        <item x="136"/>
        <item x="231"/>
        <item x="139"/>
        <item x="113"/>
        <item x="179"/>
        <item x="203"/>
        <item x="183"/>
        <item x="220"/>
        <item x="101"/>
        <item x="103"/>
        <item x="213"/>
        <item x="91"/>
        <item x="97"/>
        <item x="102"/>
        <item x="12"/>
        <item x="13"/>
        <item x="14"/>
        <item x="15"/>
        <item x="16"/>
        <item x="17"/>
        <item x="18"/>
        <item x="19"/>
        <item x="20"/>
        <item x="21"/>
        <item x="22"/>
        <item x="23"/>
        <item x="3"/>
        <item x="206"/>
        <item x="94"/>
        <item x="208"/>
        <item x="223"/>
        <item x="232"/>
        <item x="145"/>
        <item x="144"/>
        <item x="134"/>
        <item x="123"/>
        <item x="211"/>
        <item x="217"/>
        <item x="218"/>
        <item x="225"/>
        <item x="95"/>
        <item x="230"/>
        <item x="227"/>
        <item x="219"/>
        <item x="228"/>
        <item x="27"/>
        <item x="34"/>
        <item x="55"/>
        <item x="76"/>
        <item x="49"/>
        <item x="26"/>
        <item x="39"/>
        <item x="54"/>
        <item x="46"/>
        <item x="37"/>
        <item x="74"/>
        <item x="40"/>
        <item x="70"/>
        <item x="42"/>
        <item x="25"/>
        <item x="38"/>
        <item x="57"/>
        <item x="50"/>
        <item x="35"/>
        <item x="85"/>
        <item x="41"/>
        <item x="36"/>
        <item x="51"/>
        <item x="58"/>
        <item x="88"/>
        <item x="48"/>
        <item x="33"/>
        <item x="86"/>
        <item x="47"/>
        <item x="71"/>
        <item x="84"/>
        <item x="44"/>
        <item x="66"/>
        <item x="43"/>
        <item x="32"/>
        <item x="53"/>
        <item x="56"/>
        <item x="82"/>
        <item x="45"/>
        <item x="52"/>
        <item x="107"/>
        <item x="106"/>
        <item x="110"/>
        <item x="98"/>
        <item x="100"/>
        <item x="89"/>
        <item x="99"/>
        <item x="104"/>
        <item x="92"/>
        <item x="96"/>
        <item x="105"/>
        <item x="108"/>
        <item x="109"/>
        <item x="93"/>
        <item x="112"/>
        <item x="120"/>
        <item x="122"/>
        <item x="128"/>
        <item x="129"/>
        <item x="127"/>
        <item x="132"/>
        <item x="140"/>
        <item x="143"/>
        <item x="152"/>
        <item x="151"/>
        <item x="169"/>
        <item x="174"/>
        <item x="177"/>
        <item x="176"/>
        <item x="175"/>
        <item x="180"/>
        <item x="171"/>
        <item x="172"/>
        <item x="173"/>
        <item x="182"/>
        <item x="191"/>
        <item x="194"/>
        <item x="188"/>
        <item x="187"/>
        <item x="201"/>
        <item x="229"/>
        <item x="147"/>
        <item x="163"/>
        <item x="166"/>
        <item x="196"/>
        <item x="197"/>
        <item x="193"/>
        <item x="192"/>
        <item x="198"/>
        <item x="124"/>
        <item x="141"/>
        <item x="154"/>
        <item x="160"/>
        <item x="170"/>
        <item x="178"/>
        <item x="168"/>
        <item x="204"/>
        <item x="114"/>
        <item x="126"/>
        <item x="137"/>
        <item x="148"/>
        <item x="149"/>
        <item x="156"/>
        <item x="164"/>
        <item x="195"/>
        <item x="162"/>
        <item x="189"/>
        <item x="190"/>
        <item x="159"/>
        <item x="115"/>
        <item x="116"/>
        <item x="135"/>
        <item x="221"/>
        <item x="222"/>
        <item x="224"/>
        <item x="214"/>
        <item x="226"/>
        <item x="212"/>
        <item x="83"/>
        <item x="9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
        <item x="0"/>
        <item x="2"/>
        <item x="1"/>
        <item x="3"/>
        <item t="default"/>
      </items>
    </pivotField>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howAll="0"/>
    <pivotField compact="0" outline="0" showAll="0"/>
  </pivotFields>
  <rowFields count="1">
    <field x="8"/>
  </rowFields>
  <rowItems count="5">
    <i>
      <x/>
    </i>
    <i>
      <x v="1"/>
    </i>
    <i>
      <x v="2"/>
    </i>
    <i>
      <x v="3"/>
    </i>
    <i t="grand">
      <x/>
    </i>
  </rowItems>
  <colItems count="1">
    <i/>
  </colItems>
  <dataFields count="1">
    <dataField name="计数项:项目编码"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U235"/>
  <sheetViews>
    <sheetView tabSelected="1" workbookViewId="0">
      <pane xSplit="1" ySplit="1" topLeftCell="E2" activePane="bottomRight" state="frozen"/>
      <selection pane="topRight"/>
      <selection pane="bottomLeft"/>
      <selection pane="bottomRight" activeCell="L2" sqref="L2"/>
    </sheetView>
  </sheetViews>
  <sheetFormatPr defaultColWidth="8.73046875" defaultRowHeight="12.75" x14ac:dyDescent="0.35"/>
  <cols>
    <col min="1" max="1" width="3.86328125" style="4" customWidth="1"/>
    <col min="2" max="2" width="9.59765625" style="5" customWidth="1"/>
    <col min="3" max="3" width="15.73046875" style="6" customWidth="1"/>
    <col min="4" max="4" width="30.06640625" style="7" customWidth="1"/>
    <col min="5" max="5" width="12.19921875" customWidth="1"/>
    <col min="6" max="6" width="10.46484375" style="8" customWidth="1"/>
    <col min="7" max="7" width="8.19921875" style="4" customWidth="1"/>
    <col min="8" max="8" width="9.33203125" style="9" customWidth="1"/>
    <col min="9" max="9" width="16.19921875" customWidth="1"/>
    <col min="10" max="10" width="19.1328125" style="10" customWidth="1"/>
    <col min="11" max="12" width="22.33203125" style="11" customWidth="1"/>
    <col min="13" max="13" width="12.86328125" style="12"/>
    <col min="14" max="14" width="8.73046875" style="2"/>
    <col min="15" max="15" width="12.86328125" style="12"/>
    <col min="16" max="17" width="8.73046875" style="2"/>
  </cols>
  <sheetData>
    <row r="1" spans="1:229" s="1" customFormat="1" ht="43.5" customHeight="1" x14ac:dyDescent="0.35">
      <c r="A1" s="13" t="s">
        <v>0</v>
      </c>
      <c r="B1" s="14" t="s">
        <v>1</v>
      </c>
      <c r="C1" s="15" t="s">
        <v>2</v>
      </c>
      <c r="D1" s="15" t="s">
        <v>3</v>
      </c>
      <c r="E1" s="16" t="s">
        <v>4</v>
      </c>
      <c r="F1" s="16" t="s">
        <v>5</v>
      </c>
      <c r="G1" s="15" t="s">
        <v>6</v>
      </c>
      <c r="H1" s="17" t="s">
        <v>7</v>
      </c>
      <c r="I1" s="18" t="s">
        <v>8</v>
      </c>
      <c r="J1" s="16" t="s">
        <v>9</v>
      </c>
      <c r="K1" s="19" t="s">
        <v>812</v>
      </c>
      <c r="L1" s="19" t="s">
        <v>813</v>
      </c>
      <c r="M1" s="20" t="s">
        <v>10</v>
      </c>
      <c r="N1" s="19" t="s">
        <v>11</v>
      </c>
      <c r="O1" s="20" t="s">
        <v>12</v>
      </c>
      <c r="P1" s="19" t="s">
        <v>13</v>
      </c>
      <c r="Q1" s="19" t="s">
        <v>14</v>
      </c>
    </row>
    <row r="2" spans="1:229" ht="33" customHeight="1" x14ac:dyDescent="0.35">
      <c r="A2" s="21">
        <v>1</v>
      </c>
      <c r="B2" s="22" t="s">
        <v>15</v>
      </c>
      <c r="C2" s="23" t="s">
        <v>16</v>
      </c>
      <c r="D2" s="24" t="s">
        <v>17</v>
      </c>
      <c r="E2" s="25">
        <v>45909</v>
      </c>
      <c r="F2" s="25" t="s">
        <v>18</v>
      </c>
      <c r="G2" s="26" t="s">
        <v>19</v>
      </c>
      <c r="H2" s="27">
        <v>320</v>
      </c>
      <c r="I2" s="26" t="s">
        <v>20</v>
      </c>
      <c r="J2" s="28" t="s">
        <v>21</v>
      </c>
      <c r="K2" s="28" t="s">
        <v>22</v>
      </c>
      <c r="L2" s="28" t="s">
        <v>22</v>
      </c>
      <c r="M2" s="29">
        <v>1</v>
      </c>
      <c r="N2" s="30" t="s">
        <v>23</v>
      </c>
      <c r="O2" s="29">
        <v>1</v>
      </c>
      <c r="P2" s="30" t="s">
        <v>24</v>
      </c>
      <c r="Q2" s="30" t="s">
        <v>23</v>
      </c>
    </row>
    <row r="3" spans="1:229" ht="30" customHeight="1" x14ac:dyDescent="0.35">
      <c r="A3" s="21">
        <f t="shared" ref="A3:A14" si="0">A2+1</f>
        <v>2</v>
      </c>
      <c r="B3" s="31" t="s">
        <v>15</v>
      </c>
      <c r="C3" s="28" t="s">
        <v>25</v>
      </c>
      <c r="D3" s="28" t="s">
        <v>26</v>
      </c>
      <c r="E3" s="25">
        <v>45873</v>
      </c>
      <c r="F3" s="25" t="s">
        <v>18</v>
      </c>
      <c r="G3" s="26" t="s">
        <v>27</v>
      </c>
      <c r="H3" s="27">
        <v>23827</v>
      </c>
      <c r="I3" s="26" t="s">
        <v>28</v>
      </c>
      <c r="J3" s="28" t="s">
        <v>29</v>
      </c>
      <c r="K3" s="32" t="s">
        <v>30</v>
      </c>
      <c r="L3" s="32" t="s">
        <v>31</v>
      </c>
      <c r="M3" s="29">
        <v>0.85</v>
      </c>
      <c r="N3" s="30" t="s">
        <v>23</v>
      </c>
      <c r="O3" s="29">
        <v>0.8</v>
      </c>
      <c r="P3" s="30" t="s">
        <v>23</v>
      </c>
      <c r="Q3" s="30" t="s">
        <v>23</v>
      </c>
    </row>
    <row r="4" spans="1:229" s="2" customFormat="1" ht="29" customHeight="1" x14ac:dyDescent="0.35">
      <c r="A4" s="21">
        <f t="shared" si="0"/>
        <v>3</v>
      </c>
      <c r="B4" s="22" t="s">
        <v>15</v>
      </c>
      <c r="C4" s="28" t="s">
        <v>32</v>
      </c>
      <c r="D4" s="28" t="s">
        <v>33</v>
      </c>
      <c r="E4" s="25">
        <v>45952</v>
      </c>
      <c r="F4" s="25" t="s">
        <v>18</v>
      </c>
      <c r="G4" s="26" t="s">
        <v>27</v>
      </c>
      <c r="H4" s="27">
        <v>3632</v>
      </c>
      <c r="I4" s="26" t="s">
        <v>28</v>
      </c>
      <c r="J4" s="28" t="s">
        <v>34</v>
      </c>
      <c r="K4" s="23" t="s">
        <v>35</v>
      </c>
      <c r="L4" s="23" t="s">
        <v>35</v>
      </c>
      <c r="M4" s="29">
        <v>1</v>
      </c>
      <c r="N4" s="30" t="s">
        <v>24</v>
      </c>
      <c r="O4" s="29">
        <v>1</v>
      </c>
      <c r="P4" s="30" t="s">
        <v>23</v>
      </c>
      <c r="Q4" s="30" t="s">
        <v>23</v>
      </c>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row>
    <row r="5" spans="1:229" ht="36" customHeight="1" x14ac:dyDescent="0.35">
      <c r="A5" s="21">
        <f t="shared" si="0"/>
        <v>4</v>
      </c>
      <c r="B5" s="22" t="s">
        <v>15</v>
      </c>
      <c r="C5" s="28" t="s">
        <v>36</v>
      </c>
      <c r="D5" s="28" t="s">
        <v>37</v>
      </c>
      <c r="E5" s="25">
        <v>46044</v>
      </c>
      <c r="F5" s="26" t="s">
        <v>18</v>
      </c>
      <c r="G5" s="26" t="s">
        <v>27</v>
      </c>
      <c r="H5" s="27">
        <v>10100</v>
      </c>
      <c r="I5" s="26" t="s">
        <v>28</v>
      </c>
      <c r="J5" s="33" t="s">
        <v>38</v>
      </c>
      <c r="K5" s="23" t="s">
        <v>39</v>
      </c>
      <c r="L5" s="23" t="s">
        <v>40</v>
      </c>
      <c r="M5" s="29">
        <v>1</v>
      </c>
      <c r="N5" s="30" t="s">
        <v>24</v>
      </c>
      <c r="O5" s="29">
        <v>1</v>
      </c>
      <c r="P5" s="30" t="s">
        <v>23</v>
      </c>
      <c r="Q5" s="30" t="s">
        <v>23</v>
      </c>
    </row>
    <row r="6" spans="1:229" ht="30" customHeight="1" x14ac:dyDescent="0.35">
      <c r="A6" s="21">
        <f t="shared" si="0"/>
        <v>5</v>
      </c>
      <c r="B6" s="22" t="s">
        <v>15</v>
      </c>
      <c r="C6" s="28" t="s">
        <v>41</v>
      </c>
      <c r="D6" s="24" t="s">
        <v>42</v>
      </c>
      <c r="E6" s="25">
        <v>45914</v>
      </c>
      <c r="F6" s="25" t="s">
        <v>18</v>
      </c>
      <c r="G6" s="26" t="s">
        <v>19</v>
      </c>
      <c r="H6" s="34">
        <v>786</v>
      </c>
      <c r="I6" s="26" t="s">
        <v>20</v>
      </c>
      <c r="J6" s="28" t="s">
        <v>43</v>
      </c>
      <c r="K6" s="28" t="s">
        <v>22</v>
      </c>
      <c r="L6" s="28" t="s">
        <v>22</v>
      </c>
      <c r="M6" s="29">
        <v>1</v>
      </c>
      <c r="N6" s="30" t="s">
        <v>23</v>
      </c>
      <c r="O6" s="29">
        <v>1</v>
      </c>
      <c r="P6" s="30" t="s">
        <v>24</v>
      </c>
      <c r="Q6" s="30" t="s">
        <v>23</v>
      </c>
    </row>
    <row r="7" spans="1:229" s="2" customFormat="1" ht="29" customHeight="1" x14ac:dyDescent="0.35">
      <c r="A7" s="21">
        <f t="shared" si="0"/>
        <v>6</v>
      </c>
      <c r="B7" s="22" t="s">
        <v>15</v>
      </c>
      <c r="C7" s="28" t="s">
        <v>44</v>
      </c>
      <c r="D7" s="24" t="s">
        <v>45</v>
      </c>
      <c r="E7" s="25">
        <v>45958</v>
      </c>
      <c r="F7" s="25" t="s">
        <v>18</v>
      </c>
      <c r="G7" s="26" t="s">
        <v>19</v>
      </c>
      <c r="H7" s="27">
        <v>689</v>
      </c>
      <c r="I7" s="26" t="s">
        <v>20</v>
      </c>
      <c r="J7" s="28" t="s">
        <v>46</v>
      </c>
      <c r="K7" s="28" t="s">
        <v>22</v>
      </c>
      <c r="L7" s="28" t="s">
        <v>22</v>
      </c>
      <c r="M7" s="29">
        <v>1</v>
      </c>
      <c r="N7" s="30" t="s">
        <v>23</v>
      </c>
      <c r="O7" s="29">
        <v>1</v>
      </c>
      <c r="P7" s="30" t="s">
        <v>24</v>
      </c>
      <c r="Q7" s="30" t="s">
        <v>23</v>
      </c>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row>
    <row r="8" spans="1:229" s="2" customFormat="1" ht="29" customHeight="1" x14ac:dyDescent="0.35">
      <c r="A8" s="21">
        <f t="shared" si="0"/>
        <v>7</v>
      </c>
      <c r="B8" s="31" t="s">
        <v>15</v>
      </c>
      <c r="C8" s="28" t="s">
        <v>47</v>
      </c>
      <c r="D8" s="24" t="s">
        <v>48</v>
      </c>
      <c r="E8" s="25">
        <v>45994</v>
      </c>
      <c r="F8" s="25" t="s">
        <v>18</v>
      </c>
      <c r="G8" s="26" t="s">
        <v>19</v>
      </c>
      <c r="H8" s="27">
        <v>421</v>
      </c>
      <c r="I8" s="26" t="s">
        <v>20</v>
      </c>
      <c r="J8" s="28" t="s">
        <v>46</v>
      </c>
      <c r="K8" s="28" t="s">
        <v>22</v>
      </c>
      <c r="L8" s="28" t="s">
        <v>22</v>
      </c>
      <c r="M8" s="29">
        <v>1</v>
      </c>
      <c r="N8" s="30" t="s">
        <v>23</v>
      </c>
      <c r="O8" s="29">
        <v>1</v>
      </c>
      <c r="P8" s="30" t="s">
        <v>24</v>
      </c>
      <c r="Q8" s="30" t="s">
        <v>23</v>
      </c>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row>
    <row r="9" spans="1:229" ht="30" customHeight="1" x14ac:dyDescent="0.35">
      <c r="A9" s="21">
        <f t="shared" si="0"/>
        <v>8</v>
      </c>
      <c r="B9" s="22" t="s">
        <v>15</v>
      </c>
      <c r="C9" s="28" t="s">
        <v>49</v>
      </c>
      <c r="D9" s="24" t="s">
        <v>50</v>
      </c>
      <c r="E9" s="25">
        <v>45994</v>
      </c>
      <c r="F9" s="25" t="s">
        <v>18</v>
      </c>
      <c r="G9" s="26" t="s">
        <v>19</v>
      </c>
      <c r="H9" s="27">
        <v>191</v>
      </c>
      <c r="I9" s="26" t="s">
        <v>20</v>
      </c>
      <c r="J9" s="28" t="s">
        <v>51</v>
      </c>
      <c r="K9" s="28" t="s">
        <v>22</v>
      </c>
      <c r="L9" s="28" t="s">
        <v>22</v>
      </c>
      <c r="M9" s="29">
        <v>1</v>
      </c>
      <c r="N9" s="30" t="s">
        <v>23</v>
      </c>
      <c r="O9" s="29">
        <v>1</v>
      </c>
      <c r="P9" s="30" t="s">
        <v>24</v>
      </c>
      <c r="Q9" s="30" t="s">
        <v>23</v>
      </c>
    </row>
    <row r="10" spans="1:229" ht="30" customHeight="1" x14ac:dyDescent="0.35">
      <c r="A10" s="21">
        <f t="shared" si="0"/>
        <v>9</v>
      </c>
      <c r="B10" s="22" t="s">
        <v>15</v>
      </c>
      <c r="C10" s="28" t="s">
        <v>52</v>
      </c>
      <c r="D10" s="24" t="s">
        <v>53</v>
      </c>
      <c r="E10" s="25">
        <v>46016</v>
      </c>
      <c r="F10" s="25" t="s">
        <v>18</v>
      </c>
      <c r="G10" s="26" t="s">
        <v>19</v>
      </c>
      <c r="H10" s="27">
        <v>1521</v>
      </c>
      <c r="I10" s="26" t="s">
        <v>28</v>
      </c>
      <c r="J10" s="28" t="s">
        <v>54</v>
      </c>
      <c r="K10" s="28" t="s">
        <v>55</v>
      </c>
      <c r="L10" s="28" t="s">
        <v>55</v>
      </c>
      <c r="M10" s="29">
        <v>1</v>
      </c>
      <c r="N10" s="30" t="s">
        <v>23</v>
      </c>
      <c r="O10" s="29">
        <v>1</v>
      </c>
      <c r="P10" s="30" t="s">
        <v>23</v>
      </c>
      <c r="Q10" s="30" t="s">
        <v>23</v>
      </c>
    </row>
    <row r="11" spans="1:229" ht="30" customHeight="1" x14ac:dyDescent="0.35">
      <c r="A11" s="21">
        <f t="shared" si="0"/>
        <v>10</v>
      </c>
      <c r="B11" s="31" t="s">
        <v>15</v>
      </c>
      <c r="C11" s="28" t="s">
        <v>56</v>
      </c>
      <c r="D11" s="24" t="s">
        <v>57</v>
      </c>
      <c r="E11" s="25">
        <v>46016</v>
      </c>
      <c r="F11" s="25" t="s">
        <v>18</v>
      </c>
      <c r="G11" s="26" t="s">
        <v>19</v>
      </c>
      <c r="H11" s="27">
        <v>190</v>
      </c>
      <c r="I11" s="35" t="s">
        <v>20</v>
      </c>
      <c r="J11" s="28" t="s">
        <v>58</v>
      </c>
      <c r="K11" s="28" t="s">
        <v>22</v>
      </c>
      <c r="L11" s="23" t="s">
        <v>59</v>
      </c>
      <c r="M11" s="29">
        <v>1</v>
      </c>
      <c r="N11" s="30" t="s">
        <v>23</v>
      </c>
      <c r="O11" s="29">
        <v>1</v>
      </c>
      <c r="P11" s="30" t="s">
        <v>24</v>
      </c>
      <c r="Q11" s="30" t="s">
        <v>23</v>
      </c>
    </row>
    <row r="12" spans="1:229" ht="30" customHeight="1" x14ac:dyDescent="0.35">
      <c r="A12" s="21">
        <f t="shared" si="0"/>
        <v>11</v>
      </c>
      <c r="B12" s="22" t="s">
        <v>15</v>
      </c>
      <c r="C12" s="28" t="s">
        <v>60</v>
      </c>
      <c r="D12" s="28" t="s">
        <v>61</v>
      </c>
      <c r="E12" s="25">
        <v>45747</v>
      </c>
      <c r="F12" s="25" t="s">
        <v>18</v>
      </c>
      <c r="G12" s="26" t="s">
        <v>19</v>
      </c>
      <c r="H12" s="27">
        <v>7711</v>
      </c>
      <c r="I12" s="26" t="s">
        <v>20</v>
      </c>
      <c r="J12" s="28" t="s">
        <v>62</v>
      </c>
      <c r="K12" s="23" t="s">
        <v>63</v>
      </c>
      <c r="L12" s="23" t="s">
        <v>63</v>
      </c>
      <c r="M12" s="29">
        <v>1</v>
      </c>
      <c r="N12" s="30" t="s">
        <v>23</v>
      </c>
      <c r="O12" s="29">
        <f>(399+40+50-18)/(399+40+50)</f>
        <v>0.96319018404907975</v>
      </c>
      <c r="P12" s="30" t="s">
        <v>24</v>
      </c>
      <c r="Q12" s="30" t="s">
        <v>23</v>
      </c>
    </row>
    <row r="13" spans="1:229" ht="30" customHeight="1" x14ac:dyDescent="0.35">
      <c r="A13" s="21">
        <f t="shared" si="0"/>
        <v>12</v>
      </c>
      <c r="B13" s="22" t="s">
        <v>15</v>
      </c>
      <c r="C13" s="28" t="s">
        <v>64</v>
      </c>
      <c r="D13" s="28" t="s">
        <v>65</v>
      </c>
      <c r="E13" s="25">
        <v>45825</v>
      </c>
      <c r="F13" s="36" t="s">
        <v>66</v>
      </c>
      <c r="G13" s="26" t="s">
        <v>19</v>
      </c>
      <c r="H13" s="27">
        <v>364</v>
      </c>
      <c r="I13" s="26" t="s">
        <v>28</v>
      </c>
      <c r="J13" s="28" t="s">
        <v>67</v>
      </c>
      <c r="K13" s="28" t="s">
        <v>68</v>
      </c>
      <c r="L13" s="28" t="s">
        <v>68</v>
      </c>
      <c r="M13" s="29">
        <v>1</v>
      </c>
      <c r="N13" s="30" t="s">
        <v>23</v>
      </c>
      <c r="O13" s="29">
        <v>0.5</v>
      </c>
      <c r="P13" s="37" t="s">
        <v>23</v>
      </c>
      <c r="Q13" s="37" t="s">
        <v>23</v>
      </c>
    </row>
    <row r="14" spans="1:229" ht="30" customHeight="1" x14ac:dyDescent="0.35">
      <c r="A14" s="21">
        <f t="shared" si="0"/>
        <v>13</v>
      </c>
      <c r="B14" s="22" t="s">
        <v>15</v>
      </c>
      <c r="C14" s="28" t="s">
        <v>69</v>
      </c>
      <c r="D14" s="24" t="s">
        <v>70</v>
      </c>
      <c r="E14" s="25">
        <v>46079</v>
      </c>
      <c r="F14" s="25" t="s">
        <v>18</v>
      </c>
      <c r="G14" s="26" t="s">
        <v>19</v>
      </c>
      <c r="H14" s="34">
        <v>720</v>
      </c>
      <c r="I14" s="26" t="s">
        <v>28</v>
      </c>
      <c r="J14" s="28" t="s">
        <v>46</v>
      </c>
      <c r="K14" s="28" t="s">
        <v>71</v>
      </c>
      <c r="L14" s="28" t="s">
        <v>71</v>
      </c>
      <c r="M14" s="12">
        <v>1</v>
      </c>
      <c r="N14" s="30" t="s">
        <v>23</v>
      </c>
      <c r="O14" s="12">
        <f>8/14</f>
        <v>0.5714285714285714</v>
      </c>
      <c r="P14" s="30" t="s">
        <v>23</v>
      </c>
      <c r="Q14" s="30" t="s">
        <v>23</v>
      </c>
    </row>
    <row r="15" spans="1:229" ht="30" customHeight="1" x14ac:dyDescent="0.35">
      <c r="A15" s="21">
        <f t="shared" ref="A15:A18" si="1">A14+1</f>
        <v>14</v>
      </c>
      <c r="B15" s="22" t="s">
        <v>15</v>
      </c>
      <c r="C15" s="28" t="s">
        <v>72</v>
      </c>
      <c r="D15" s="24" t="s">
        <v>73</v>
      </c>
      <c r="E15" s="25">
        <v>46140</v>
      </c>
      <c r="F15" s="25" t="s">
        <v>18</v>
      </c>
      <c r="G15" s="26" t="s">
        <v>19</v>
      </c>
      <c r="H15" s="34">
        <v>433</v>
      </c>
      <c r="I15" s="26" t="s">
        <v>74</v>
      </c>
      <c r="J15" s="28" t="s">
        <v>75</v>
      </c>
      <c r="K15" s="28" t="s">
        <v>71</v>
      </c>
      <c r="L15" s="28" t="s">
        <v>71</v>
      </c>
      <c r="M15" s="29">
        <v>1</v>
      </c>
      <c r="N15" s="30" t="s">
        <v>23</v>
      </c>
      <c r="O15" s="29">
        <f>3/10</f>
        <v>0.3</v>
      </c>
      <c r="P15" s="30" t="s">
        <v>23</v>
      </c>
      <c r="Q15" s="30" t="s">
        <v>23</v>
      </c>
    </row>
    <row r="16" spans="1:229" ht="30" customHeight="1" x14ac:dyDescent="0.35">
      <c r="A16" s="21">
        <f t="shared" si="1"/>
        <v>15</v>
      </c>
      <c r="B16" s="31" t="s">
        <v>15</v>
      </c>
      <c r="C16" s="28" t="s">
        <v>76</v>
      </c>
      <c r="D16" s="24" t="s">
        <v>77</v>
      </c>
      <c r="E16" s="25">
        <v>46141</v>
      </c>
      <c r="F16" s="25" t="s">
        <v>18</v>
      </c>
      <c r="G16" s="26" t="s">
        <v>19</v>
      </c>
      <c r="H16" s="34">
        <v>966</v>
      </c>
      <c r="I16" s="26" t="s">
        <v>28</v>
      </c>
      <c r="J16" s="28" t="s">
        <v>78</v>
      </c>
      <c r="K16" s="28" t="s">
        <v>71</v>
      </c>
      <c r="L16" s="28" t="s">
        <v>55</v>
      </c>
      <c r="M16" s="29">
        <v>1</v>
      </c>
      <c r="N16" s="30" t="s">
        <v>24</v>
      </c>
      <c r="O16" s="29">
        <v>1</v>
      </c>
      <c r="P16" s="30" t="s">
        <v>24</v>
      </c>
      <c r="Q16" s="30" t="s">
        <v>23</v>
      </c>
    </row>
    <row r="17" spans="1:17" ht="30" customHeight="1" x14ac:dyDescent="0.35">
      <c r="A17" s="21">
        <f t="shared" si="1"/>
        <v>16</v>
      </c>
      <c r="B17" s="22" t="s">
        <v>15</v>
      </c>
      <c r="C17" s="28" t="s">
        <v>79</v>
      </c>
      <c r="D17" s="24" t="s">
        <v>80</v>
      </c>
      <c r="E17" s="25">
        <v>46151</v>
      </c>
      <c r="F17" s="25" t="s">
        <v>18</v>
      </c>
      <c r="G17" s="26" t="s">
        <v>19</v>
      </c>
      <c r="H17" s="34">
        <v>4931</v>
      </c>
      <c r="I17" s="26" t="s">
        <v>28</v>
      </c>
      <c r="J17" s="28" t="s">
        <v>81</v>
      </c>
      <c r="K17" s="28" t="s">
        <v>71</v>
      </c>
      <c r="L17" s="23" t="s">
        <v>82</v>
      </c>
      <c r="M17" s="29">
        <v>1</v>
      </c>
      <c r="N17" s="30" t="s">
        <v>24</v>
      </c>
      <c r="O17" s="29">
        <v>1</v>
      </c>
      <c r="P17" s="30" t="s">
        <v>23</v>
      </c>
      <c r="Q17" s="30" t="s">
        <v>23</v>
      </c>
    </row>
    <row r="18" spans="1:17" ht="30" customHeight="1" x14ac:dyDescent="0.35">
      <c r="A18" s="21">
        <f t="shared" si="1"/>
        <v>17</v>
      </c>
      <c r="B18" s="31" t="s">
        <v>15</v>
      </c>
      <c r="C18" s="28" t="s">
        <v>83</v>
      </c>
      <c r="D18" s="28" t="s">
        <v>84</v>
      </c>
      <c r="E18" s="25">
        <v>46178</v>
      </c>
      <c r="F18" s="25" t="s">
        <v>18</v>
      </c>
      <c r="G18" s="26" t="s">
        <v>19</v>
      </c>
      <c r="H18" s="27">
        <v>5426</v>
      </c>
      <c r="I18" s="26" t="s">
        <v>74</v>
      </c>
      <c r="J18" s="28" t="s">
        <v>85</v>
      </c>
      <c r="K18" s="23" t="s">
        <v>86</v>
      </c>
      <c r="L18" s="23"/>
      <c r="M18" s="29">
        <f>39/45</f>
        <v>0.8666666666666667</v>
      </c>
      <c r="N18" s="30" t="s">
        <v>23</v>
      </c>
      <c r="O18" s="29">
        <f>29/45</f>
        <v>0.64444444444444449</v>
      </c>
      <c r="P18" s="30" t="s">
        <v>23</v>
      </c>
      <c r="Q18" s="30" t="s">
        <v>23</v>
      </c>
    </row>
    <row r="19" spans="1:17" ht="30" customHeight="1" x14ac:dyDescent="0.35">
      <c r="A19" s="21">
        <f t="shared" ref="A19:A41" si="2">A18+1</f>
        <v>18</v>
      </c>
      <c r="B19" s="22" t="s">
        <v>15</v>
      </c>
      <c r="C19" s="28" t="s">
        <v>87</v>
      </c>
      <c r="D19" s="24" t="s">
        <v>88</v>
      </c>
      <c r="E19" s="25">
        <v>46189</v>
      </c>
      <c r="F19" s="25" t="s">
        <v>18</v>
      </c>
      <c r="G19" s="26" t="s">
        <v>19</v>
      </c>
      <c r="H19" s="34">
        <v>3379</v>
      </c>
      <c r="I19" s="26" t="s">
        <v>74</v>
      </c>
      <c r="J19" s="28" t="s">
        <v>89</v>
      </c>
      <c r="K19" s="28" t="s">
        <v>71</v>
      </c>
      <c r="L19" s="35" t="s">
        <v>90</v>
      </c>
      <c r="M19" s="29"/>
      <c r="N19" s="30" t="s">
        <v>23</v>
      </c>
      <c r="O19" s="29"/>
      <c r="P19" s="37"/>
      <c r="Q19" s="30" t="s">
        <v>23</v>
      </c>
    </row>
    <row r="20" spans="1:17" ht="30" customHeight="1" x14ac:dyDescent="0.35">
      <c r="A20" s="21">
        <f t="shared" si="2"/>
        <v>19</v>
      </c>
      <c r="B20" s="31" t="s">
        <v>15</v>
      </c>
      <c r="C20" s="28" t="s">
        <v>91</v>
      </c>
      <c r="D20" s="24" t="s">
        <v>92</v>
      </c>
      <c r="E20" s="25">
        <v>46202</v>
      </c>
      <c r="F20" s="25" t="s">
        <v>18</v>
      </c>
      <c r="G20" s="26" t="s">
        <v>19</v>
      </c>
      <c r="H20" s="34">
        <v>1526</v>
      </c>
      <c r="I20" s="26" t="s">
        <v>74</v>
      </c>
      <c r="J20" s="28" t="s">
        <v>93</v>
      </c>
      <c r="K20" s="28" t="s">
        <v>94</v>
      </c>
      <c r="L20" s="28" t="s">
        <v>94</v>
      </c>
      <c r="M20" s="29">
        <v>1</v>
      </c>
      <c r="N20" s="30" t="s">
        <v>23</v>
      </c>
      <c r="O20" s="29">
        <v>0</v>
      </c>
      <c r="P20" s="30" t="s">
        <v>23</v>
      </c>
      <c r="Q20" s="30" t="s">
        <v>23</v>
      </c>
    </row>
    <row r="21" spans="1:17" ht="30" customHeight="1" x14ac:dyDescent="0.35">
      <c r="A21" s="21">
        <f t="shared" si="2"/>
        <v>20</v>
      </c>
      <c r="B21" s="22" t="s">
        <v>15</v>
      </c>
      <c r="C21" s="28" t="s">
        <v>95</v>
      </c>
      <c r="D21" s="24" t="s">
        <v>96</v>
      </c>
      <c r="E21" s="25">
        <v>46202</v>
      </c>
      <c r="F21" s="25" t="s">
        <v>18</v>
      </c>
      <c r="G21" s="26" t="s">
        <v>19</v>
      </c>
      <c r="H21" s="34">
        <v>830</v>
      </c>
      <c r="I21" s="26" t="s">
        <v>74</v>
      </c>
      <c r="J21" s="28" t="s">
        <v>97</v>
      </c>
      <c r="K21" s="28" t="s">
        <v>98</v>
      </c>
      <c r="L21" s="35" t="s">
        <v>90</v>
      </c>
      <c r="M21" s="29">
        <v>1</v>
      </c>
      <c r="N21" s="30" t="s">
        <v>23</v>
      </c>
      <c r="O21" s="29">
        <v>0.44440000000000002</v>
      </c>
      <c r="P21" s="37"/>
      <c r="Q21" s="30" t="s">
        <v>23</v>
      </c>
    </row>
    <row r="22" spans="1:17" ht="30" customHeight="1" x14ac:dyDescent="0.35">
      <c r="A22" s="21">
        <f t="shared" si="2"/>
        <v>21</v>
      </c>
      <c r="B22" s="22" t="s">
        <v>15</v>
      </c>
      <c r="C22" s="28" t="s">
        <v>99</v>
      </c>
      <c r="D22" s="24" t="s">
        <v>100</v>
      </c>
      <c r="E22" s="25">
        <v>46202</v>
      </c>
      <c r="F22" s="25" t="s">
        <v>18</v>
      </c>
      <c r="G22" s="26" t="s">
        <v>19</v>
      </c>
      <c r="H22" s="34">
        <v>428</v>
      </c>
      <c r="I22" s="26" t="s">
        <v>74</v>
      </c>
      <c r="J22" s="28" t="s">
        <v>51</v>
      </c>
      <c r="K22" s="28" t="s">
        <v>98</v>
      </c>
      <c r="L22" s="35" t="s">
        <v>90</v>
      </c>
      <c r="M22" s="29">
        <v>1</v>
      </c>
      <c r="N22" s="30" t="s">
        <v>23</v>
      </c>
      <c r="O22" s="29">
        <v>0.33</v>
      </c>
      <c r="P22" s="37"/>
      <c r="Q22" s="30" t="s">
        <v>23</v>
      </c>
    </row>
    <row r="23" spans="1:17" ht="30" customHeight="1" x14ac:dyDescent="0.35">
      <c r="A23" s="21">
        <f t="shared" si="2"/>
        <v>22</v>
      </c>
      <c r="B23" s="31" t="s">
        <v>15</v>
      </c>
      <c r="C23" s="28" t="s">
        <v>101</v>
      </c>
      <c r="D23" s="24" t="s">
        <v>102</v>
      </c>
      <c r="E23" s="25">
        <v>46199</v>
      </c>
      <c r="F23" s="25" t="s">
        <v>18</v>
      </c>
      <c r="G23" s="26" t="s">
        <v>19</v>
      </c>
      <c r="H23" s="34">
        <v>716</v>
      </c>
      <c r="I23" s="26" t="s">
        <v>74</v>
      </c>
      <c r="J23" s="23" t="s">
        <v>103</v>
      </c>
      <c r="K23" s="28" t="s">
        <v>98</v>
      </c>
      <c r="L23" s="23" t="s">
        <v>104</v>
      </c>
      <c r="M23" s="29">
        <v>1</v>
      </c>
      <c r="N23" s="30" t="s">
        <v>23</v>
      </c>
      <c r="O23" s="29">
        <v>1</v>
      </c>
      <c r="P23" s="37"/>
      <c r="Q23" s="30" t="s">
        <v>23</v>
      </c>
    </row>
    <row r="24" spans="1:17" ht="30" customHeight="1" x14ac:dyDescent="0.35">
      <c r="A24" s="21">
        <f t="shared" si="2"/>
        <v>23</v>
      </c>
      <c r="B24" s="22" t="s">
        <v>15</v>
      </c>
      <c r="C24" s="28" t="s">
        <v>105</v>
      </c>
      <c r="D24" s="24" t="s">
        <v>106</v>
      </c>
      <c r="E24" s="25">
        <v>46199</v>
      </c>
      <c r="F24" s="25" t="s">
        <v>18</v>
      </c>
      <c r="G24" s="26" t="s">
        <v>19</v>
      </c>
      <c r="H24" s="34">
        <v>2587</v>
      </c>
      <c r="I24" s="26" t="s">
        <v>74</v>
      </c>
      <c r="J24" s="23" t="s">
        <v>43</v>
      </c>
      <c r="K24" s="28" t="s">
        <v>71</v>
      </c>
      <c r="L24" s="28"/>
      <c r="M24" s="29"/>
      <c r="N24" s="30" t="s">
        <v>23</v>
      </c>
      <c r="O24" s="29"/>
      <c r="P24" s="37"/>
      <c r="Q24" s="30" t="s">
        <v>23</v>
      </c>
    </row>
    <row r="25" spans="1:17" ht="30" customHeight="1" x14ac:dyDescent="0.35">
      <c r="A25" s="21">
        <f t="shared" si="2"/>
        <v>24</v>
      </c>
      <c r="B25" s="22" t="s">
        <v>15</v>
      </c>
      <c r="C25" s="28" t="s">
        <v>107</v>
      </c>
      <c r="D25" s="24" t="s">
        <v>108</v>
      </c>
      <c r="E25" s="25">
        <v>46202</v>
      </c>
      <c r="F25" s="25" t="s">
        <v>18</v>
      </c>
      <c r="G25" s="26" t="s">
        <v>19</v>
      </c>
      <c r="H25" s="34">
        <v>663</v>
      </c>
      <c r="I25" s="26" t="s">
        <v>74</v>
      </c>
      <c r="J25" s="28" t="s">
        <v>109</v>
      </c>
      <c r="K25" s="28" t="s">
        <v>98</v>
      </c>
      <c r="L25" s="23" t="s">
        <v>110</v>
      </c>
      <c r="M25" s="29">
        <v>1</v>
      </c>
      <c r="N25" s="30" t="s">
        <v>23</v>
      </c>
      <c r="O25" s="29">
        <v>0</v>
      </c>
      <c r="P25" s="37"/>
      <c r="Q25" s="30" t="s">
        <v>23</v>
      </c>
    </row>
    <row r="26" spans="1:17" ht="30" customHeight="1" x14ac:dyDescent="0.35">
      <c r="A26" s="21">
        <f t="shared" si="2"/>
        <v>25</v>
      </c>
      <c r="B26" s="31" t="s">
        <v>15</v>
      </c>
      <c r="C26" s="28" t="s">
        <v>111</v>
      </c>
      <c r="D26" s="28" t="s">
        <v>112</v>
      </c>
      <c r="E26" s="25">
        <v>45683</v>
      </c>
      <c r="F26" s="26" t="s">
        <v>113</v>
      </c>
      <c r="G26" s="26" t="s">
        <v>114</v>
      </c>
      <c r="H26" s="27">
        <v>2119</v>
      </c>
      <c r="I26" s="26" t="s">
        <v>28</v>
      </c>
      <c r="J26" s="33" t="s">
        <v>115</v>
      </c>
      <c r="K26" s="23" t="s">
        <v>116</v>
      </c>
      <c r="L26" s="23" t="s">
        <v>116</v>
      </c>
      <c r="M26" s="29">
        <v>1</v>
      </c>
      <c r="N26" s="30" t="s">
        <v>24</v>
      </c>
      <c r="O26" s="29">
        <v>1</v>
      </c>
      <c r="P26" s="30" t="s">
        <v>24</v>
      </c>
      <c r="Q26" s="30" t="s">
        <v>23</v>
      </c>
    </row>
    <row r="27" spans="1:17" ht="30" customHeight="1" x14ac:dyDescent="0.35">
      <c r="A27" s="21">
        <f t="shared" si="2"/>
        <v>26</v>
      </c>
      <c r="B27" s="22" t="s">
        <v>117</v>
      </c>
      <c r="C27" s="28" t="s">
        <v>118</v>
      </c>
      <c r="D27" s="28" t="s">
        <v>119</v>
      </c>
      <c r="E27" s="25">
        <v>45693</v>
      </c>
      <c r="F27" s="26" t="s">
        <v>113</v>
      </c>
      <c r="G27" s="26" t="s">
        <v>120</v>
      </c>
      <c r="H27" s="27">
        <v>155</v>
      </c>
      <c r="I27" s="26" t="s">
        <v>121</v>
      </c>
      <c r="J27" s="33" t="s">
        <v>122</v>
      </c>
      <c r="K27" s="28" t="s">
        <v>123</v>
      </c>
      <c r="L27" s="28"/>
      <c r="M27" s="29">
        <v>1</v>
      </c>
      <c r="N27" s="37"/>
      <c r="O27" s="29">
        <v>1</v>
      </c>
      <c r="P27" s="30" t="s">
        <v>24</v>
      </c>
      <c r="Q27" s="30" t="s">
        <v>24</v>
      </c>
    </row>
    <row r="28" spans="1:17" ht="30" customHeight="1" x14ac:dyDescent="0.35">
      <c r="A28" s="21">
        <f t="shared" si="2"/>
        <v>27</v>
      </c>
      <c r="B28" s="31" t="s">
        <v>117</v>
      </c>
      <c r="C28" s="28" t="s">
        <v>124</v>
      </c>
      <c r="D28" s="28" t="s">
        <v>125</v>
      </c>
      <c r="E28" s="25">
        <v>45693</v>
      </c>
      <c r="F28" s="26" t="s">
        <v>113</v>
      </c>
      <c r="G28" s="26" t="s">
        <v>120</v>
      </c>
      <c r="H28" s="27">
        <v>107</v>
      </c>
      <c r="I28" s="26" t="s">
        <v>121</v>
      </c>
      <c r="J28" s="33" t="s">
        <v>126</v>
      </c>
      <c r="K28" s="28" t="s">
        <v>123</v>
      </c>
      <c r="L28" s="28"/>
      <c r="M28" s="29">
        <v>1</v>
      </c>
      <c r="N28" s="37"/>
      <c r="O28" s="29">
        <v>1</v>
      </c>
      <c r="P28" s="30" t="s">
        <v>24</v>
      </c>
      <c r="Q28" s="30" t="s">
        <v>24</v>
      </c>
    </row>
    <row r="29" spans="1:17" ht="30" customHeight="1" x14ac:dyDescent="0.35">
      <c r="A29" s="21">
        <f t="shared" si="2"/>
        <v>28</v>
      </c>
      <c r="B29" s="22" t="s">
        <v>117</v>
      </c>
      <c r="C29" s="28" t="s">
        <v>127</v>
      </c>
      <c r="D29" s="28" t="s">
        <v>128</v>
      </c>
      <c r="E29" s="25">
        <v>45693</v>
      </c>
      <c r="F29" s="26" t="s">
        <v>113</v>
      </c>
      <c r="G29" s="26" t="s">
        <v>120</v>
      </c>
      <c r="H29" s="27">
        <v>77.87</v>
      </c>
      <c r="I29" s="26" t="s">
        <v>121</v>
      </c>
      <c r="J29" s="33" t="s">
        <v>129</v>
      </c>
      <c r="K29" s="28" t="s">
        <v>123</v>
      </c>
      <c r="L29" s="28"/>
      <c r="M29" s="29">
        <v>1</v>
      </c>
      <c r="N29" s="37"/>
      <c r="O29" s="29">
        <v>1</v>
      </c>
      <c r="P29" s="30" t="s">
        <v>24</v>
      </c>
      <c r="Q29" s="30" t="s">
        <v>24</v>
      </c>
    </row>
    <row r="30" spans="1:17" ht="30" customHeight="1" x14ac:dyDescent="0.35">
      <c r="A30" s="21">
        <f t="shared" si="2"/>
        <v>29</v>
      </c>
      <c r="B30" s="31" t="s">
        <v>117</v>
      </c>
      <c r="C30" s="28" t="s">
        <v>130</v>
      </c>
      <c r="D30" s="28" t="s">
        <v>131</v>
      </c>
      <c r="E30" s="25">
        <v>45974</v>
      </c>
      <c r="F30" s="26" t="s">
        <v>113</v>
      </c>
      <c r="G30" s="26" t="s">
        <v>132</v>
      </c>
      <c r="H30" s="27">
        <v>12896</v>
      </c>
      <c r="I30" s="26" t="s">
        <v>28</v>
      </c>
      <c r="J30" s="33" t="s">
        <v>133</v>
      </c>
      <c r="K30" s="23" t="s">
        <v>134</v>
      </c>
      <c r="L30" s="23"/>
      <c r="M30" s="29"/>
      <c r="N30" s="37"/>
      <c r="O30" s="29"/>
      <c r="P30" s="37"/>
      <c r="Q30" s="30" t="s">
        <v>23</v>
      </c>
    </row>
    <row r="31" spans="1:17" ht="30" customHeight="1" x14ac:dyDescent="0.35">
      <c r="A31" s="21">
        <f t="shared" si="2"/>
        <v>30</v>
      </c>
      <c r="B31" s="22" t="s">
        <v>135</v>
      </c>
      <c r="C31" s="28" t="s">
        <v>136</v>
      </c>
      <c r="D31" s="28" t="s">
        <v>137</v>
      </c>
      <c r="E31" s="25">
        <v>45716</v>
      </c>
      <c r="F31" s="26" t="s">
        <v>113</v>
      </c>
      <c r="G31" s="35" t="s">
        <v>120</v>
      </c>
      <c r="H31" s="27">
        <v>30</v>
      </c>
      <c r="I31" s="26" t="s">
        <v>121</v>
      </c>
      <c r="J31" s="28" t="s">
        <v>138</v>
      </c>
      <c r="K31" s="28" t="s">
        <v>123</v>
      </c>
      <c r="L31" s="28"/>
      <c r="M31" s="29">
        <v>1</v>
      </c>
      <c r="N31" s="37"/>
      <c r="O31" s="29">
        <v>1</v>
      </c>
      <c r="P31" s="30" t="s">
        <v>24</v>
      </c>
      <c r="Q31" s="30" t="s">
        <v>24</v>
      </c>
    </row>
    <row r="32" spans="1:17" ht="30" customHeight="1" x14ac:dyDescent="0.35">
      <c r="A32" s="21">
        <f t="shared" si="2"/>
        <v>31</v>
      </c>
      <c r="B32" s="22" t="s">
        <v>135</v>
      </c>
      <c r="C32" s="28" t="s">
        <v>139</v>
      </c>
      <c r="D32" s="28" t="s">
        <v>140</v>
      </c>
      <c r="E32" s="25">
        <v>45743</v>
      </c>
      <c r="F32" s="26" t="s">
        <v>113</v>
      </c>
      <c r="G32" s="26" t="s">
        <v>114</v>
      </c>
      <c r="H32" s="27">
        <v>1244.5999999999999</v>
      </c>
      <c r="I32" s="26" t="s">
        <v>28</v>
      </c>
      <c r="J32" s="28" t="s">
        <v>141</v>
      </c>
      <c r="K32" s="23" t="s">
        <v>142</v>
      </c>
      <c r="L32" s="23" t="s">
        <v>143</v>
      </c>
      <c r="M32" s="29">
        <v>1</v>
      </c>
      <c r="N32" s="30" t="s">
        <v>24</v>
      </c>
      <c r="O32" s="29">
        <v>1</v>
      </c>
      <c r="P32" s="30" t="s">
        <v>23</v>
      </c>
      <c r="Q32" s="30" t="s">
        <v>23</v>
      </c>
    </row>
    <row r="33" spans="1:17" ht="30" customHeight="1" x14ac:dyDescent="0.35">
      <c r="A33" s="21">
        <f t="shared" si="2"/>
        <v>32</v>
      </c>
      <c r="B33" s="22" t="s">
        <v>144</v>
      </c>
      <c r="C33" s="28" t="s">
        <v>145</v>
      </c>
      <c r="D33" s="28" t="s">
        <v>146</v>
      </c>
      <c r="E33" s="25">
        <v>45743</v>
      </c>
      <c r="F33" s="26" t="s">
        <v>113</v>
      </c>
      <c r="G33" s="26" t="s">
        <v>147</v>
      </c>
      <c r="H33" s="27">
        <v>7530</v>
      </c>
      <c r="I33" s="26" t="s">
        <v>121</v>
      </c>
      <c r="J33" s="33" t="s">
        <v>148</v>
      </c>
      <c r="K33" s="28" t="s">
        <v>123</v>
      </c>
      <c r="L33" s="28"/>
      <c r="M33" s="29">
        <v>1</v>
      </c>
      <c r="N33" s="37"/>
      <c r="O33" s="29">
        <v>1</v>
      </c>
      <c r="P33" s="30" t="s">
        <v>24</v>
      </c>
      <c r="Q33" s="30" t="s">
        <v>24</v>
      </c>
    </row>
    <row r="34" spans="1:17" ht="30" customHeight="1" x14ac:dyDescent="0.35">
      <c r="A34" s="21">
        <f t="shared" si="2"/>
        <v>33</v>
      </c>
      <c r="B34" s="22" t="s">
        <v>117</v>
      </c>
      <c r="C34" s="28" t="s">
        <v>149</v>
      </c>
      <c r="D34" s="28" t="s">
        <v>150</v>
      </c>
      <c r="E34" s="25">
        <v>45761</v>
      </c>
      <c r="F34" s="26" t="s">
        <v>113</v>
      </c>
      <c r="G34" s="26" t="s">
        <v>120</v>
      </c>
      <c r="H34" s="27">
        <v>29</v>
      </c>
      <c r="I34" s="26" t="s">
        <v>121</v>
      </c>
      <c r="J34" s="33" t="s">
        <v>151</v>
      </c>
      <c r="K34" s="28" t="s">
        <v>123</v>
      </c>
      <c r="L34" s="28"/>
      <c r="M34" s="29">
        <v>1</v>
      </c>
      <c r="N34" s="37"/>
      <c r="O34" s="29">
        <v>1</v>
      </c>
      <c r="P34" s="30" t="s">
        <v>24</v>
      </c>
      <c r="Q34" s="30" t="s">
        <v>24</v>
      </c>
    </row>
    <row r="35" spans="1:17" ht="30" customHeight="1" x14ac:dyDescent="0.35">
      <c r="A35" s="21">
        <f t="shared" si="2"/>
        <v>34</v>
      </c>
      <c r="B35" s="22" t="s">
        <v>117</v>
      </c>
      <c r="C35" s="28" t="s">
        <v>152</v>
      </c>
      <c r="D35" s="28" t="s">
        <v>153</v>
      </c>
      <c r="E35" s="25">
        <v>45761</v>
      </c>
      <c r="F35" s="26" t="s">
        <v>113</v>
      </c>
      <c r="G35" s="26" t="s">
        <v>120</v>
      </c>
      <c r="H35" s="27">
        <v>177</v>
      </c>
      <c r="I35" s="26" t="s">
        <v>28</v>
      </c>
      <c r="J35" s="33" t="s">
        <v>154</v>
      </c>
      <c r="K35" s="28" t="s">
        <v>155</v>
      </c>
      <c r="L35" s="28"/>
      <c r="M35" s="29"/>
      <c r="N35" s="37"/>
      <c r="O35" s="29"/>
      <c r="P35" s="37"/>
      <c r="Q35" s="30" t="s">
        <v>23</v>
      </c>
    </row>
    <row r="36" spans="1:17" ht="30" customHeight="1" x14ac:dyDescent="0.35">
      <c r="A36" s="21">
        <f t="shared" si="2"/>
        <v>35</v>
      </c>
      <c r="B36" s="31" t="s">
        <v>117</v>
      </c>
      <c r="C36" s="28" t="s">
        <v>156</v>
      </c>
      <c r="D36" s="28" t="s">
        <v>157</v>
      </c>
      <c r="E36" s="25">
        <v>45803</v>
      </c>
      <c r="F36" s="26" t="s">
        <v>113</v>
      </c>
      <c r="G36" s="26" t="s">
        <v>120</v>
      </c>
      <c r="H36" s="27">
        <v>68.349999999999994</v>
      </c>
      <c r="I36" s="26" t="s">
        <v>20</v>
      </c>
      <c r="J36" s="33" t="s">
        <v>158</v>
      </c>
      <c r="K36" s="28" t="s">
        <v>155</v>
      </c>
      <c r="L36" s="28"/>
      <c r="M36" s="29">
        <v>1</v>
      </c>
      <c r="N36" s="37"/>
      <c r="O36" s="29">
        <v>1</v>
      </c>
      <c r="P36" s="30" t="s">
        <v>24</v>
      </c>
      <c r="Q36" s="37" t="s">
        <v>23</v>
      </c>
    </row>
    <row r="37" spans="1:17" ht="30" customHeight="1" x14ac:dyDescent="0.35">
      <c r="A37" s="21">
        <f t="shared" si="2"/>
        <v>36</v>
      </c>
      <c r="B37" s="22" t="s">
        <v>117</v>
      </c>
      <c r="C37" s="28" t="s">
        <v>159</v>
      </c>
      <c r="D37" s="28" t="s">
        <v>160</v>
      </c>
      <c r="E37" s="25">
        <v>45803</v>
      </c>
      <c r="F37" s="26" t="s">
        <v>113</v>
      </c>
      <c r="G37" s="26" t="s">
        <v>120</v>
      </c>
      <c r="H37" s="27">
        <v>209</v>
      </c>
      <c r="I37" s="26" t="s">
        <v>28</v>
      </c>
      <c r="J37" s="33" t="s">
        <v>161</v>
      </c>
      <c r="K37" s="28" t="s">
        <v>155</v>
      </c>
      <c r="L37" s="28"/>
      <c r="M37" s="29"/>
      <c r="N37" s="37"/>
      <c r="O37" s="29"/>
      <c r="P37" s="37"/>
      <c r="Q37" s="37" t="s">
        <v>23</v>
      </c>
    </row>
    <row r="38" spans="1:17" ht="30" customHeight="1" x14ac:dyDescent="0.35">
      <c r="A38" s="21">
        <f t="shared" si="2"/>
        <v>37</v>
      </c>
      <c r="B38" s="22" t="s">
        <v>117</v>
      </c>
      <c r="C38" s="28" t="s">
        <v>162</v>
      </c>
      <c r="D38" s="28" t="s">
        <v>163</v>
      </c>
      <c r="E38" s="25">
        <v>45803</v>
      </c>
      <c r="F38" s="26" t="s">
        <v>113</v>
      </c>
      <c r="G38" s="26" t="s">
        <v>120</v>
      </c>
      <c r="H38" s="27">
        <v>95</v>
      </c>
      <c r="I38" s="26" t="s">
        <v>74</v>
      </c>
      <c r="J38" s="33" t="s">
        <v>129</v>
      </c>
      <c r="K38" s="23" t="s">
        <v>164</v>
      </c>
      <c r="L38" s="23"/>
      <c r="M38" s="29"/>
      <c r="N38" s="37"/>
      <c r="O38" s="29"/>
      <c r="P38" s="37"/>
      <c r="Q38" s="37" t="s">
        <v>23</v>
      </c>
    </row>
    <row r="39" spans="1:17" ht="30" customHeight="1" x14ac:dyDescent="0.35">
      <c r="A39" s="21">
        <f t="shared" si="2"/>
        <v>38</v>
      </c>
      <c r="B39" s="22" t="s">
        <v>117</v>
      </c>
      <c r="C39" s="28" t="s">
        <v>165</v>
      </c>
      <c r="D39" s="28" t="s">
        <v>166</v>
      </c>
      <c r="E39" s="25">
        <v>45803</v>
      </c>
      <c r="F39" s="26" t="s">
        <v>113</v>
      </c>
      <c r="G39" s="26" t="s">
        <v>120</v>
      </c>
      <c r="H39" s="27">
        <v>82.1</v>
      </c>
      <c r="I39" s="26" t="s">
        <v>121</v>
      </c>
      <c r="J39" s="33" t="s">
        <v>129</v>
      </c>
      <c r="K39" s="28" t="s">
        <v>123</v>
      </c>
      <c r="L39" s="28"/>
      <c r="M39" s="29">
        <v>1</v>
      </c>
      <c r="N39" s="37"/>
      <c r="O39" s="29">
        <v>1</v>
      </c>
      <c r="P39" s="30" t="s">
        <v>24</v>
      </c>
      <c r="Q39" s="30" t="s">
        <v>24</v>
      </c>
    </row>
    <row r="40" spans="1:17" ht="30" customHeight="1" x14ac:dyDescent="0.35">
      <c r="A40" s="21">
        <f t="shared" si="2"/>
        <v>39</v>
      </c>
      <c r="B40" s="22" t="s">
        <v>117</v>
      </c>
      <c r="C40" s="28" t="s">
        <v>167</v>
      </c>
      <c r="D40" s="28" t="s">
        <v>168</v>
      </c>
      <c r="E40" s="25">
        <v>45804</v>
      </c>
      <c r="F40" s="26" t="s">
        <v>113</v>
      </c>
      <c r="G40" s="26" t="s">
        <v>120</v>
      </c>
      <c r="H40" s="27">
        <v>482</v>
      </c>
      <c r="I40" s="26" t="s">
        <v>28</v>
      </c>
      <c r="J40" s="28" t="s">
        <v>169</v>
      </c>
      <c r="K40" s="28" t="s">
        <v>155</v>
      </c>
      <c r="L40" s="28"/>
      <c r="M40" s="29"/>
      <c r="N40" s="37"/>
      <c r="O40" s="29"/>
      <c r="P40" s="37"/>
      <c r="Q40" s="37" t="s">
        <v>23</v>
      </c>
    </row>
    <row r="41" spans="1:17" ht="30" customHeight="1" x14ac:dyDescent="0.35">
      <c r="A41" s="21">
        <f t="shared" si="2"/>
        <v>40</v>
      </c>
      <c r="B41" s="22" t="s">
        <v>117</v>
      </c>
      <c r="C41" s="28" t="s">
        <v>170</v>
      </c>
      <c r="D41" s="28" t="s">
        <v>171</v>
      </c>
      <c r="E41" s="25">
        <v>45825</v>
      </c>
      <c r="F41" s="26" t="s">
        <v>113</v>
      </c>
      <c r="G41" s="26" t="s">
        <v>120</v>
      </c>
      <c r="H41" s="27">
        <v>191</v>
      </c>
      <c r="I41" s="26" t="s">
        <v>28</v>
      </c>
      <c r="J41" s="28" t="s">
        <v>172</v>
      </c>
      <c r="K41" s="28" t="s">
        <v>155</v>
      </c>
      <c r="L41" s="28"/>
      <c r="M41" s="29"/>
      <c r="N41" s="37"/>
      <c r="O41" s="29"/>
      <c r="P41" s="37"/>
      <c r="Q41" s="37" t="s">
        <v>23</v>
      </c>
    </row>
    <row r="42" spans="1:17" ht="30" customHeight="1" x14ac:dyDescent="0.35">
      <c r="A42" s="21">
        <f t="shared" ref="A42:A73" si="3">A41+1</f>
        <v>41</v>
      </c>
      <c r="B42" s="22" t="s">
        <v>135</v>
      </c>
      <c r="C42" s="28" t="s">
        <v>173</v>
      </c>
      <c r="D42" s="28" t="s">
        <v>174</v>
      </c>
      <c r="E42" s="25">
        <v>45826</v>
      </c>
      <c r="F42" s="26" t="s">
        <v>113</v>
      </c>
      <c r="G42" s="26" t="s">
        <v>114</v>
      </c>
      <c r="H42" s="27">
        <v>314</v>
      </c>
      <c r="I42" s="26" t="s">
        <v>28</v>
      </c>
      <c r="J42" s="33" t="s">
        <v>175</v>
      </c>
      <c r="K42" s="23" t="s">
        <v>176</v>
      </c>
      <c r="L42" s="23" t="s">
        <v>176</v>
      </c>
      <c r="M42" s="29">
        <v>1</v>
      </c>
      <c r="N42" s="30" t="s">
        <v>24</v>
      </c>
      <c r="O42" s="29">
        <v>1</v>
      </c>
      <c r="P42" s="30" t="s">
        <v>23</v>
      </c>
      <c r="Q42" s="37" t="s">
        <v>23</v>
      </c>
    </row>
    <row r="43" spans="1:17" ht="30" customHeight="1" x14ac:dyDescent="0.35">
      <c r="A43" s="21">
        <f t="shared" si="3"/>
        <v>42</v>
      </c>
      <c r="B43" s="22" t="s">
        <v>135</v>
      </c>
      <c r="C43" s="28" t="s">
        <v>177</v>
      </c>
      <c r="D43" s="28" t="s">
        <v>178</v>
      </c>
      <c r="E43" s="25">
        <v>45826</v>
      </c>
      <c r="F43" s="26" t="s">
        <v>113</v>
      </c>
      <c r="G43" s="26" t="s">
        <v>114</v>
      </c>
      <c r="H43" s="27">
        <v>297</v>
      </c>
      <c r="I43" s="26" t="s">
        <v>28</v>
      </c>
      <c r="J43" s="33" t="s">
        <v>179</v>
      </c>
      <c r="K43" s="23" t="s">
        <v>176</v>
      </c>
      <c r="L43" s="23" t="s">
        <v>176</v>
      </c>
      <c r="M43" s="29">
        <v>1</v>
      </c>
      <c r="N43" s="30" t="s">
        <v>24</v>
      </c>
      <c r="O43" s="29">
        <v>1</v>
      </c>
      <c r="P43" s="30" t="s">
        <v>23</v>
      </c>
      <c r="Q43" s="37" t="s">
        <v>23</v>
      </c>
    </row>
    <row r="44" spans="1:17" ht="30" customHeight="1" x14ac:dyDescent="0.35">
      <c r="A44" s="21">
        <f t="shared" si="3"/>
        <v>43</v>
      </c>
      <c r="B44" s="22" t="s">
        <v>135</v>
      </c>
      <c r="C44" s="28" t="s">
        <v>180</v>
      </c>
      <c r="D44" s="28" t="s">
        <v>181</v>
      </c>
      <c r="E44" s="25">
        <v>45826</v>
      </c>
      <c r="F44" s="26" t="s">
        <v>113</v>
      </c>
      <c r="G44" s="26" t="s">
        <v>114</v>
      </c>
      <c r="H44" s="27">
        <v>405</v>
      </c>
      <c r="I44" s="26" t="s">
        <v>28</v>
      </c>
      <c r="J44" s="33" t="s">
        <v>179</v>
      </c>
      <c r="K44" s="23" t="s">
        <v>176</v>
      </c>
      <c r="L44" s="23" t="s">
        <v>176</v>
      </c>
      <c r="M44" s="29">
        <v>1</v>
      </c>
      <c r="N44" s="30" t="s">
        <v>24</v>
      </c>
      <c r="O44" s="29">
        <v>1</v>
      </c>
      <c r="P44" s="30" t="s">
        <v>23</v>
      </c>
      <c r="Q44" s="37" t="s">
        <v>23</v>
      </c>
    </row>
    <row r="45" spans="1:17" ht="30" customHeight="1" x14ac:dyDescent="0.35">
      <c r="A45" s="21">
        <f t="shared" si="3"/>
        <v>44</v>
      </c>
      <c r="B45" s="22" t="s">
        <v>135</v>
      </c>
      <c r="C45" s="28" t="s">
        <v>182</v>
      </c>
      <c r="D45" s="28" t="s">
        <v>183</v>
      </c>
      <c r="E45" s="25">
        <v>45826</v>
      </c>
      <c r="F45" s="26" t="s">
        <v>113</v>
      </c>
      <c r="G45" s="26" t="s">
        <v>114</v>
      </c>
      <c r="H45" s="27">
        <v>95</v>
      </c>
      <c r="I45" s="26" t="s">
        <v>20</v>
      </c>
      <c r="J45" s="33" t="s">
        <v>184</v>
      </c>
      <c r="K45" s="23" t="s">
        <v>116</v>
      </c>
      <c r="L45" s="23" t="s">
        <v>116</v>
      </c>
      <c r="M45" s="29">
        <v>1</v>
      </c>
      <c r="N45" s="30" t="s">
        <v>24</v>
      </c>
      <c r="O45" s="29">
        <v>1</v>
      </c>
      <c r="P45" s="30" t="s">
        <v>24</v>
      </c>
      <c r="Q45" s="37" t="s">
        <v>23</v>
      </c>
    </row>
    <row r="46" spans="1:17" ht="30" customHeight="1" x14ac:dyDescent="0.35">
      <c r="A46" s="21">
        <f t="shared" si="3"/>
        <v>45</v>
      </c>
      <c r="B46" s="22" t="s">
        <v>135</v>
      </c>
      <c r="C46" s="28" t="s">
        <v>185</v>
      </c>
      <c r="D46" s="28" t="s">
        <v>186</v>
      </c>
      <c r="E46" s="25">
        <v>45826</v>
      </c>
      <c r="F46" s="26" t="s">
        <v>113</v>
      </c>
      <c r="G46" s="26" t="s">
        <v>114</v>
      </c>
      <c r="H46" s="27">
        <v>207</v>
      </c>
      <c r="I46" s="26" t="s">
        <v>28</v>
      </c>
      <c r="J46" s="33" t="s">
        <v>179</v>
      </c>
      <c r="K46" s="23" t="s">
        <v>176</v>
      </c>
      <c r="L46" s="23" t="s">
        <v>176</v>
      </c>
      <c r="M46" s="29">
        <v>1</v>
      </c>
      <c r="N46" s="30" t="s">
        <v>24</v>
      </c>
      <c r="O46" s="29">
        <v>1</v>
      </c>
      <c r="P46" s="30" t="s">
        <v>23</v>
      </c>
      <c r="Q46" s="37" t="s">
        <v>23</v>
      </c>
    </row>
    <row r="47" spans="1:17" ht="30" customHeight="1" x14ac:dyDescent="0.35">
      <c r="A47" s="21">
        <f t="shared" si="3"/>
        <v>46</v>
      </c>
      <c r="B47" s="22" t="s">
        <v>135</v>
      </c>
      <c r="C47" s="28" t="s">
        <v>187</v>
      </c>
      <c r="D47" s="28" t="s">
        <v>188</v>
      </c>
      <c r="E47" s="25">
        <v>45826</v>
      </c>
      <c r="F47" s="26" t="s">
        <v>113</v>
      </c>
      <c r="G47" s="26" t="s">
        <v>114</v>
      </c>
      <c r="H47" s="27">
        <v>165</v>
      </c>
      <c r="I47" s="26" t="s">
        <v>28</v>
      </c>
      <c r="J47" s="33" t="s">
        <v>189</v>
      </c>
      <c r="K47" s="23" t="s">
        <v>176</v>
      </c>
      <c r="L47" s="23" t="s">
        <v>176</v>
      </c>
      <c r="M47" s="29">
        <v>1</v>
      </c>
      <c r="N47" s="30" t="s">
        <v>24</v>
      </c>
      <c r="O47" s="29">
        <v>1</v>
      </c>
      <c r="P47" s="30" t="s">
        <v>23</v>
      </c>
      <c r="Q47" s="37" t="s">
        <v>23</v>
      </c>
    </row>
    <row r="48" spans="1:17" ht="30" customHeight="1" x14ac:dyDescent="0.35">
      <c r="A48" s="21">
        <f t="shared" si="3"/>
        <v>47</v>
      </c>
      <c r="B48" s="22" t="s">
        <v>135</v>
      </c>
      <c r="C48" s="28" t="s">
        <v>190</v>
      </c>
      <c r="D48" s="28" t="s">
        <v>191</v>
      </c>
      <c r="E48" s="25">
        <v>45826</v>
      </c>
      <c r="F48" s="26" t="s">
        <v>113</v>
      </c>
      <c r="G48" s="26" t="s">
        <v>114</v>
      </c>
      <c r="H48" s="27">
        <v>295</v>
      </c>
      <c r="I48" s="26" t="s">
        <v>28</v>
      </c>
      <c r="J48" s="33" t="s">
        <v>192</v>
      </c>
      <c r="K48" s="23" t="s">
        <v>176</v>
      </c>
      <c r="L48" s="23" t="s">
        <v>176</v>
      </c>
      <c r="M48" s="29">
        <v>1</v>
      </c>
      <c r="N48" s="30" t="s">
        <v>24</v>
      </c>
      <c r="O48" s="29">
        <v>1</v>
      </c>
      <c r="P48" s="30" t="s">
        <v>23</v>
      </c>
      <c r="Q48" s="37" t="s">
        <v>23</v>
      </c>
    </row>
    <row r="49" spans="1:17" ht="30" customHeight="1" x14ac:dyDescent="0.35">
      <c r="A49" s="21">
        <f t="shared" si="3"/>
        <v>48</v>
      </c>
      <c r="B49" s="22" t="s">
        <v>135</v>
      </c>
      <c r="C49" s="28" t="s">
        <v>193</v>
      </c>
      <c r="D49" s="28" t="s">
        <v>194</v>
      </c>
      <c r="E49" s="25">
        <v>45826</v>
      </c>
      <c r="F49" s="26" t="s">
        <v>113</v>
      </c>
      <c r="G49" s="26" t="s">
        <v>114</v>
      </c>
      <c r="H49" s="27">
        <v>177</v>
      </c>
      <c r="I49" s="26" t="s">
        <v>28</v>
      </c>
      <c r="J49" s="33" t="s">
        <v>195</v>
      </c>
      <c r="K49" s="23" t="s">
        <v>176</v>
      </c>
      <c r="L49" s="23" t="s">
        <v>176</v>
      </c>
      <c r="M49" s="29">
        <v>1</v>
      </c>
      <c r="N49" s="30" t="s">
        <v>24</v>
      </c>
      <c r="O49" s="29">
        <v>1</v>
      </c>
      <c r="P49" s="30" t="s">
        <v>23</v>
      </c>
      <c r="Q49" s="37" t="s">
        <v>23</v>
      </c>
    </row>
    <row r="50" spans="1:17" ht="30" customHeight="1" x14ac:dyDescent="0.35">
      <c r="A50" s="21">
        <f t="shared" si="3"/>
        <v>49</v>
      </c>
      <c r="B50" s="22" t="s">
        <v>135</v>
      </c>
      <c r="C50" s="28" t="s">
        <v>196</v>
      </c>
      <c r="D50" s="28" t="s">
        <v>197</v>
      </c>
      <c r="E50" s="25">
        <v>45826</v>
      </c>
      <c r="F50" s="26" t="s">
        <v>113</v>
      </c>
      <c r="G50" s="26" t="s">
        <v>114</v>
      </c>
      <c r="H50" s="27">
        <v>168</v>
      </c>
      <c r="I50" s="26" t="s">
        <v>28</v>
      </c>
      <c r="J50" s="33" t="s">
        <v>198</v>
      </c>
      <c r="K50" s="23" t="s">
        <v>176</v>
      </c>
      <c r="L50" s="23" t="s">
        <v>176</v>
      </c>
      <c r="M50" s="29">
        <v>1</v>
      </c>
      <c r="N50" s="30" t="s">
        <v>24</v>
      </c>
      <c r="O50" s="29">
        <v>1</v>
      </c>
      <c r="P50" s="30" t="s">
        <v>23</v>
      </c>
      <c r="Q50" s="37" t="s">
        <v>23</v>
      </c>
    </row>
    <row r="51" spans="1:17" ht="30" customHeight="1" x14ac:dyDescent="0.35">
      <c r="A51" s="21">
        <f t="shared" si="3"/>
        <v>50</v>
      </c>
      <c r="B51" s="22" t="s">
        <v>135</v>
      </c>
      <c r="C51" s="28" t="s">
        <v>199</v>
      </c>
      <c r="D51" s="28" t="s">
        <v>200</v>
      </c>
      <c r="E51" s="25">
        <v>45826</v>
      </c>
      <c r="F51" s="26" t="s">
        <v>113</v>
      </c>
      <c r="G51" s="26" t="s">
        <v>114</v>
      </c>
      <c r="H51" s="27">
        <v>312</v>
      </c>
      <c r="I51" s="26" t="s">
        <v>28</v>
      </c>
      <c r="J51" s="33" t="s">
        <v>201</v>
      </c>
      <c r="K51" s="23" t="s">
        <v>176</v>
      </c>
      <c r="L51" s="23" t="s">
        <v>176</v>
      </c>
      <c r="M51" s="29">
        <v>1</v>
      </c>
      <c r="N51" s="30" t="s">
        <v>24</v>
      </c>
      <c r="O51" s="29">
        <v>1</v>
      </c>
      <c r="P51" s="30" t="s">
        <v>23</v>
      </c>
      <c r="Q51" s="37" t="s">
        <v>23</v>
      </c>
    </row>
    <row r="52" spans="1:17" ht="30" customHeight="1" x14ac:dyDescent="0.35">
      <c r="A52" s="21">
        <f t="shared" si="3"/>
        <v>51</v>
      </c>
      <c r="B52" s="22" t="s">
        <v>135</v>
      </c>
      <c r="C52" s="28" t="s">
        <v>202</v>
      </c>
      <c r="D52" s="28" t="s">
        <v>203</v>
      </c>
      <c r="E52" s="25">
        <v>45826</v>
      </c>
      <c r="F52" s="26" t="s">
        <v>113</v>
      </c>
      <c r="G52" s="26" t="s">
        <v>114</v>
      </c>
      <c r="H52" s="27">
        <v>521</v>
      </c>
      <c r="I52" s="26" t="s">
        <v>28</v>
      </c>
      <c r="J52" s="33" t="s">
        <v>204</v>
      </c>
      <c r="K52" s="23" t="s">
        <v>176</v>
      </c>
      <c r="L52" s="23" t="s">
        <v>176</v>
      </c>
      <c r="M52" s="29">
        <v>1</v>
      </c>
      <c r="N52" s="30" t="s">
        <v>24</v>
      </c>
      <c r="O52" s="29">
        <v>1</v>
      </c>
      <c r="P52" s="30" t="s">
        <v>23</v>
      </c>
      <c r="Q52" s="37" t="s">
        <v>23</v>
      </c>
    </row>
    <row r="53" spans="1:17" ht="30" customHeight="1" x14ac:dyDescent="0.35">
      <c r="A53" s="21">
        <f t="shared" si="3"/>
        <v>52</v>
      </c>
      <c r="B53" s="22" t="s">
        <v>135</v>
      </c>
      <c r="C53" s="28" t="s">
        <v>205</v>
      </c>
      <c r="D53" s="28" t="s">
        <v>206</v>
      </c>
      <c r="E53" s="25">
        <v>45826</v>
      </c>
      <c r="F53" s="26" t="s">
        <v>113</v>
      </c>
      <c r="G53" s="26" t="s">
        <v>114</v>
      </c>
      <c r="H53" s="27">
        <v>106.5</v>
      </c>
      <c r="I53" s="26" t="s">
        <v>28</v>
      </c>
      <c r="J53" s="33" t="s">
        <v>207</v>
      </c>
      <c r="K53" s="23" t="s">
        <v>176</v>
      </c>
      <c r="L53" s="23" t="s">
        <v>176</v>
      </c>
      <c r="M53" s="29">
        <v>1</v>
      </c>
      <c r="N53" s="30" t="s">
        <v>24</v>
      </c>
      <c r="O53" s="29">
        <v>1</v>
      </c>
      <c r="P53" s="30" t="s">
        <v>23</v>
      </c>
      <c r="Q53" s="37" t="s">
        <v>23</v>
      </c>
    </row>
    <row r="54" spans="1:17" ht="30" customHeight="1" x14ac:dyDescent="0.35">
      <c r="A54" s="21">
        <f t="shared" si="3"/>
        <v>53</v>
      </c>
      <c r="B54" s="31" t="s">
        <v>135</v>
      </c>
      <c r="C54" s="28" t="s">
        <v>208</v>
      </c>
      <c r="D54" s="28" t="s">
        <v>209</v>
      </c>
      <c r="E54" s="25">
        <v>45826</v>
      </c>
      <c r="F54" s="26" t="s">
        <v>113</v>
      </c>
      <c r="G54" s="26" t="s">
        <v>114</v>
      </c>
      <c r="H54" s="27">
        <v>160</v>
      </c>
      <c r="I54" s="26" t="s">
        <v>28</v>
      </c>
      <c r="J54" s="33" t="s">
        <v>210</v>
      </c>
      <c r="K54" s="23" t="s">
        <v>176</v>
      </c>
      <c r="L54" s="23" t="s">
        <v>176</v>
      </c>
      <c r="M54" s="29">
        <v>1</v>
      </c>
      <c r="N54" s="30" t="s">
        <v>24</v>
      </c>
      <c r="O54" s="29">
        <v>1</v>
      </c>
      <c r="P54" s="30" t="s">
        <v>23</v>
      </c>
      <c r="Q54" s="37" t="s">
        <v>23</v>
      </c>
    </row>
    <row r="55" spans="1:17" ht="30" customHeight="1" x14ac:dyDescent="0.35">
      <c r="A55" s="21">
        <f t="shared" si="3"/>
        <v>54</v>
      </c>
      <c r="B55" s="22" t="s">
        <v>117</v>
      </c>
      <c r="C55" s="28" t="s">
        <v>211</v>
      </c>
      <c r="D55" s="28" t="s">
        <v>212</v>
      </c>
      <c r="E55" s="25">
        <v>45831</v>
      </c>
      <c r="F55" s="26" t="s">
        <v>113</v>
      </c>
      <c r="G55" s="26" t="s">
        <v>120</v>
      </c>
      <c r="H55" s="27">
        <v>58</v>
      </c>
      <c r="I55" s="26" t="s">
        <v>121</v>
      </c>
      <c r="J55" s="33" t="s">
        <v>129</v>
      </c>
      <c r="K55" s="28" t="s">
        <v>123</v>
      </c>
      <c r="L55" s="28"/>
      <c r="M55" s="29">
        <v>1</v>
      </c>
      <c r="N55" s="37"/>
      <c r="O55" s="29">
        <v>1</v>
      </c>
      <c r="P55" s="30" t="s">
        <v>24</v>
      </c>
      <c r="Q55" s="30" t="s">
        <v>24</v>
      </c>
    </row>
    <row r="56" spans="1:17" ht="30" customHeight="1" x14ac:dyDescent="0.35">
      <c r="A56" s="21">
        <f t="shared" si="3"/>
        <v>55</v>
      </c>
      <c r="B56" s="22" t="s">
        <v>117</v>
      </c>
      <c r="C56" s="28" t="s">
        <v>213</v>
      </c>
      <c r="D56" s="28" t="s">
        <v>214</v>
      </c>
      <c r="E56" s="25">
        <v>45831</v>
      </c>
      <c r="F56" s="26" t="s">
        <v>113</v>
      </c>
      <c r="G56" s="26" t="s">
        <v>120</v>
      </c>
      <c r="H56" s="27">
        <v>168</v>
      </c>
      <c r="I56" s="26" t="s">
        <v>28</v>
      </c>
      <c r="J56" s="33" t="s">
        <v>215</v>
      </c>
      <c r="K56" s="28" t="s">
        <v>155</v>
      </c>
      <c r="L56" s="28"/>
      <c r="M56" s="29"/>
      <c r="N56" s="37"/>
      <c r="O56" s="29"/>
      <c r="P56" s="37"/>
      <c r="Q56" s="37" t="s">
        <v>23</v>
      </c>
    </row>
    <row r="57" spans="1:17" ht="30" customHeight="1" x14ac:dyDescent="0.35">
      <c r="A57" s="21">
        <f t="shared" si="3"/>
        <v>56</v>
      </c>
      <c r="B57" s="31" t="s">
        <v>117</v>
      </c>
      <c r="C57" s="28" t="s">
        <v>216</v>
      </c>
      <c r="D57" s="28" t="s">
        <v>217</v>
      </c>
      <c r="E57" s="25">
        <v>45831</v>
      </c>
      <c r="F57" s="26" t="s">
        <v>113</v>
      </c>
      <c r="G57" s="26" t="s">
        <v>120</v>
      </c>
      <c r="H57" s="27">
        <v>132</v>
      </c>
      <c r="I57" s="26" t="s">
        <v>28</v>
      </c>
      <c r="J57" s="33" t="s">
        <v>218</v>
      </c>
      <c r="K57" s="28" t="s">
        <v>155</v>
      </c>
      <c r="L57" s="28"/>
      <c r="M57" s="29"/>
      <c r="N57" s="37"/>
      <c r="O57" s="29"/>
      <c r="P57" s="37"/>
      <c r="Q57" s="37" t="s">
        <v>23</v>
      </c>
    </row>
    <row r="58" spans="1:17" ht="30" customHeight="1" x14ac:dyDescent="0.35">
      <c r="A58" s="21">
        <f t="shared" si="3"/>
        <v>57</v>
      </c>
      <c r="B58" s="22" t="s">
        <v>117</v>
      </c>
      <c r="C58" s="28" t="s">
        <v>219</v>
      </c>
      <c r="D58" s="28" t="s">
        <v>220</v>
      </c>
      <c r="E58" s="25">
        <v>45859</v>
      </c>
      <c r="F58" s="26" t="s">
        <v>113</v>
      </c>
      <c r="G58" s="26" t="s">
        <v>120</v>
      </c>
      <c r="H58" s="27">
        <v>29</v>
      </c>
      <c r="I58" s="26" t="s">
        <v>121</v>
      </c>
      <c r="J58" s="33" t="s">
        <v>221</v>
      </c>
      <c r="K58" s="28" t="s">
        <v>123</v>
      </c>
      <c r="L58" s="28"/>
      <c r="M58" s="29">
        <v>1</v>
      </c>
      <c r="N58" s="37"/>
      <c r="O58" s="29">
        <v>1</v>
      </c>
      <c r="P58" s="30" t="s">
        <v>24</v>
      </c>
      <c r="Q58" s="30" t="s">
        <v>24</v>
      </c>
    </row>
    <row r="59" spans="1:17" ht="30" customHeight="1" x14ac:dyDescent="0.35">
      <c r="A59" s="21">
        <f t="shared" si="3"/>
        <v>58</v>
      </c>
      <c r="B59" s="31" t="s">
        <v>117</v>
      </c>
      <c r="C59" s="28" t="s">
        <v>222</v>
      </c>
      <c r="D59" s="28" t="s">
        <v>223</v>
      </c>
      <c r="E59" s="25">
        <v>45859</v>
      </c>
      <c r="F59" s="26" t="s">
        <v>113</v>
      </c>
      <c r="G59" s="26" t="s">
        <v>120</v>
      </c>
      <c r="H59" s="27">
        <v>175</v>
      </c>
      <c r="I59" s="26" t="s">
        <v>28</v>
      </c>
      <c r="J59" s="33" t="s">
        <v>154</v>
      </c>
      <c r="K59" s="28" t="s">
        <v>155</v>
      </c>
      <c r="L59" s="28"/>
      <c r="M59" s="29"/>
      <c r="N59" s="37"/>
      <c r="O59" s="29"/>
      <c r="P59" s="37"/>
      <c r="Q59" s="37" t="s">
        <v>23</v>
      </c>
    </row>
    <row r="60" spans="1:17" ht="30" customHeight="1" x14ac:dyDescent="0.35">
      <c r="A60" s="21">
        <f t="shared" si="3"/>
        <v>59</v>
      </c>
      <c r="B60" s="22" t="s">
        <v>117</v>
      </c>
      <c r="C60" s="28" t="s">
        <v>224</v>
      </c>
      <c r="D60" s="28" t="s">
        <v>225</v>
      </c>
      <c r="E60" s="25">
        <v>45883</v>
      </c>
      <c r="F60" s="26" t="s">
        <v>113</v>
      </c>
      <c r="G60" s="26" t="s">
        <v>120</v>
      </c>
      <c r="H60" s="27">
        <v>40.1</v>
      </c>
      <c r="I60" s="26" t="s">
        <v>28</v>
      </c>
      <c r="J60" s="33" t="s">
        <v>226</v>
      </c>
      <c r="K60" s="28" t="s">
        <v>155</v>
      </c>
      <c r="L60" s="28"/>
      <c r="M60" s="29"/>
      <c r="N60" s="37"/>
      <c r="O60" s="29"/>
      <c r="P60" s="37"/>
      <c r="Q60" s="37" t="s">
        <v>23</v>
      </c>
    </row>
    <row r="61" spans="1:17" ht="30" customHeight="1" x14ac:dyDescent="0.35">
      <c r="A61" s="21">
        <f t="shared" si="3"/>
        <v>60</v>
      </c>
      <c r="B61" s="22" t="s">
        <v>135</v>
      </c>
      <c r="C61" s="28" t="s">
        <v>227</v>
      </c>
      <c r="D61" s="28" t="s">
        <v>228</v>
      </c>
      <c r="E61" s="25">
        <v>45887</v>
      </c>
      <c r="F61" s="26" t="s">
        <v>113</v>
      </c>
      <c r="G61" s="26" t="s">
        <v>114</v>
      </c>
      <c r="H61" s="27">
        <v>19247</v>
      </c>
      <c r="I61" s="26" t="s">
        <v>20</v>
      </c>
      <c r="J61" s="28" t="s">
        <v>229</v>
      </c>
      <c r="K61" s="23" t="s">
        <v>230</v>
      </c>
      <c r="L61" s="23" t="s">
        <v>231</v>
      </c>
      <c r="M61" s="29">
        <v>1</v>
      </c>
      <c r="N61" s="30" t="s">
        <v>24</v>
      </c>
      <c r="O61" s="29">
        <v>1</v>
      </c>
      <c r="P61" s="30" t="s">
        <v>24</v>
      </c>
      <c r="Q61" s="37" t="s">
        <v>23</v>
      </c>
    </row>
    <row r="62" spans="1:17" ht="30" customHeight="1" x14ac:dyDescent="0.35">
      <c r="A62" s="21">
        <f t="shared" si="3"/>
        <v>61</v>
      </c>
      <c r="B62" s="22" t="s">
        <v>135</v>
      </c>
      <c r="C62" s="28" t="s">
        <v>232</v>
      </c>
      <c r="D62" s="28" t="s">
        <v>233</v>
      </c>
      <c r="E62" s="25">
        <v>45889</v>
      </c>
      <c r="F62" s="26" t="s">
        <v>113</v>
      </c>
      <c r="G62" s="26" t="s">
        <v>114</v>
      </c>
      <c r="H62" s="27">
        <v>457</v>
      </c>
      <c r="I62" s="26" t="s">
        <v>20</v>
      </c>
      <c r="J62" s="28" t="s">
        <v>234</v>
      </c>
      <c r="K62" s="23" t="s">
        <v>116</v>
      </c>
      <c r="L62" s="23" t="s">
        <v>235</v>
      </c>
      <c r="M62" s="29">
        <v>1</v>
      </c>
      <c r="N62" s="30" t="s">
        <v>24</v>
      </c>
      <c r="O62" s="29">
        <v>1</v>
      </c>
      <c r="P62" s="30" t="s">
        <v>24</v>
      </c>
      <c r="Q62" s="37" t="s">
        <v>23</v>
      </c>
    </row>
    <row r="63" spans="1:17" ht="30" customHeight="1" x14ac:dyDescent="0.35">
      <c r="A63" s="21">
        <f t="shared" si="3"/>
        <v>62</v>
      </c>
      <c r="B63" s="31" t="s">
        <v>117</v>
      </c>
      <c r="C63" s="28" t="s">
        <v>236</v>
      </c>
      <c r="D63" s="28" t="s">
        <v>237</v>
      </c>
      <c r="E63" s="25">
        <v>45897</v>
      </c>
      <c r="F63" s="26" t="s">
        <v>113</v>
      </c>
      <c r="G63" s="26" t="s">
        <v>132</v>
      </c>
      <c r="H63" s="27">
        <v>615</v>
      </c>
      <c r="I63" s="26" t="s">
        <v>20</v>
      </c>
      <c r="J63" s="28" t="s">
        <v>238</v>
      </c>
      <c r="K63" s="38" t="s">
        <v>239</v>
      </c>
      <c r="L63" s="38"/>
      <c r="M63" s="29">
        <v>1</v>
      </c>
      <c r="N63" s="37"/>
      <c r="O63" s="29">
        <v>1</v>
      </c>
      <c r="P63" s="30" t="s">
        <v>24</v>
      </c>
      <c r="Q63" s="37" t="s">
        <v>23</v>
      </c>
    </row>
    <row r="64" spans="1:17" ht="30" customHeight="1" x14ac:dyDescent="0.35">
      <c r="A64" s="21">
        <f t="shared" si="3"/>
        <v>63</v>
      </c>
      <c r="B64" s="22" t="s">
        <v>117</v>
      </c>
      <c r="C64" s="28" t="s">
        <v>240</v>
      </c>
      <c r="D64" s="28" t="s">
        <v>241</v>
      </c>
      <c r="E64" s="25">
        <v>45904</v>
      </c>
      <c r="F64" s="26" t="s">
        <v>113</v>
      </c>
      <c r="G64" s="26" t="s">
        <v>120</v>
      </c>
      <c r="H64" s="27">
        <v>607.79999999999995</v>
      </c>
      <c r="I64" s="26" t="s">
        <v>20</v>
      </c>
      <c r="J64" s="33" t="s">
        <v>242</v>
      </c>
      <c r="K64" s="28" t="s">
        <v>155</v>
      </c>
      <c r="L64" s="28"/>
      <c r="M64" s="29">
        <v>1</v>
      </c>
      <c r="N64" s="37"/>
      <c r="O64" s="29">
        <v>1</v>
      </c>
      <c r="P64" s="30" t="s">
        <v>24</v>
      </c>
      <c r="Q64" s="37" t="s">
        <v>23</v>
      </c>
    </row>
    <row r="65" spans="1:17" ht="30" customHeight="1" x14ac:dyDescent="0.35">
      <c r="A65" s="21">
        <f t="shared" si="3"/>
        <v>64</v>
      </c>
      <c r="B65" s="22" t="s">
        <v>117</v>
      </c>
      <c r="C65" s="28" t="s">
        <v>243</v>
      </c>
      <c r="D65" s="28" t="s">
        <v>244</v>
      </c>
      <c r="E65" s="25">
        <v>45909</v>
      </c>
      <c r="F65" s="26" t="s">
        <v>113</v>
      </c>
      <c r="G65" s="26" t="s">
        <v>132</v>
      </c>
      <c r="H65" s="27">
        <v>45</v>
      </c>
      <c r="I65" s="26" t="s">
        <v>20</v>
      </c>
      <c r="J65" s="28" t="s">
        <v>245</v>
      </c>
      <c r="K65" s="23" t="s">
        <v>155</v>
      </c>
      <c r="L65" s="23"/>
      <c r="M65" s="29">
        <v>1</v>
      </c>
      <c r="N65" s="37"/>
      <c r="O65" s="29">
        <v>1</v>
      </c>
      <c r="P65" s="30" t="s">
        <v>24</v>
      </c>
      <c r="Q65" s="37" t="s">
        <v>23</v>
      </c>
    </row>
    <row r="66" spans="1:17" ht="30" customHeight="1" x14ac:dyDescent="0.35">
      <c r="A66" s="21">
        <f t="shared" si="3"/>
        <v>65</v>
      </c>
      <c r="B66" s="22" t="s">
        <v>117</v>
      </c>
      <c r="C66" s="28" t="s">
        <v>246</v>
      </c>
      <c r="D66" s="28" t="s">
        <v>247</v>
      </c>
      <c r="E66" s="25">
        <v>45911</v>
      </c>
      <c r="F66" s="25" t="s">
        <v>113</v>
      </c>
      <c r="G66" s="26" t="s">
        <v>132</v>
      </c>
      <c r="H66" s="27">
        <v>1990.25</v>
      </c>
      <c r="I66" s="26" t="s">
        <v>28</v>
      </c>
      <c r="J66" s="28" t="s">
        <v>248</v>
      </c>
      <c r="K66" s="23" t="s">
        <v>249</v>
      </c>
      <c r="L66" s="23"/>
      <c r="M66" s="29"/>
      <c r="N66" s="37"/>
      <c r="O66" s="29"/>
      <c r="P66" s="37"/>
      <c r="Q66" s="37" t="s">
        <v>23</v>
      </c>
    </row>
    <row r="67" spans="1:17" ht="30" customHeight="1" x14ac:dyDescent="0.35">
      <c r="A67" s="21">
        <f t="shared" si="3"/>
        <v>66</v>
      </c>
      <c r="B67" s="22" t="s">
        <v>250</v>
      </c>
      <c r="C67" s="28" t="s">
        <v>251</v>
      </c>
      <c r="D67" s="28" t="s">
        <v>252</v>
      </c>
      <c r="E67" s="25">
        <v>45917</v>
      </c>
      <c r="F67" s="25" t="s">
        <v>113</v>
      </c>
      <c r="G67" s="26" t="s">
        <v>120</v>
      </c>
      <c r="H67" s="27">
        <v>493.58</v>
      </c>
      <c r="I67" s="26" t="s">
        <v>28</v>
      </c>
      <c r="J67" s="28" t="s">
        <v>253</v>
      </c>
      <c r="K67" s="28" t="s">
        <v>155</v>
      </c>
      <c r="L67" s="28"/>
      <c r="M67" s="29"/>
      <c r="N67" s="37"/>
      <c r="O67" s="29"/>
      <c r="P67" s="37"/>
      <c r="Q67" s="37" t="s">
        <v>23</v>
      </c>
    </row>
    <row r="68" spans="1:17" ht="30" customHeight="1" x14ac:dyDescent="0.35">
      <c r="A68" s="21">
        <f t="shared" si="3"/>
        <v>67</v>
      </c>
      <c r="B68" s="22" t="s">
        <v>117</v>
      </c>
      <c r="C68" s="28" t="s">
        <v>254</v>
      </c>
      <c r="D68" s="28" t="s">
        <v>255</v>
      </c>
      <c r="E68" s="25">
        <v>45923</v>
      </c>
      <c r="F68" s="25" t="s">
        <v>113</v>
      </c>
      <c r="G68" s="26" t="s">
        <v>120</v>
      </c>
      <c r="H68" s="27">
        <v>97.92</v>
      </c>
      <c r="I68" s="26" t="s">
        <v>28</v>
      </c>
      <c r="J68" s="28" t="s">
        <v>256</v>
      </c>
      <c r="K68" s="28" t="s">
        <v>155</v>
      </c>
      <c r="L68" s="28"/>
      <c r="M68" s="29"/>
      <c r="N68" s="37"/>
      <c r="O68" s="29"/>
      <c r="P68" s="37"/>
      <c r="Q68" s="37" t="s">
        <v>23</v>
      </c>
    </row>
    <row r="69" spans="1:17" ht="30" customHeight="1" x14ac:dyDescent="0.35">
      <c r="A69" s="21">
        <f t="shared" si="3"/>
        <v>68</v>
      </c>
      <c r="B69" s="22" t="s">
        <v>135</v>
      </c>
      <c r="C69" s="28" t="s">
        <v>257</v>
      </c>
      <c r="D69" s="28" t="s">
        <v>258</v>
      </c>
      <c r="E69" s="25">
        <v>45943</v>
      </c>
      <c r="F69" s="25" t="s">
        <v>113</v>
      </c>
      <c r="G69" s="26" t="s">
        <v>114</v>
      </c>
      <c r="H69" s="27">
        <v>6962</v>
      </c>
      <c r="I69" s="26" t="s">
        <v>28</v>
      </c>
      <c r="J69" s="28" t="s">
        <v>259</v>
      </c>
      <c r="K69" s="23" t="s">
        <v>260</v>
      </c>
      <c r="L69" s="23" t="s">
        <v>235</v>
      </c>
      <c r="M69" s="29">
        <v>1</v>
      </c>
      <c r="N69" s="30" t="s">
        <v>24</v>
      </c>
      <c r="O69" s="29">
        <v>1</v>
      </c>
      <c r="P69" s="30" t="s">
        <v>24</v>
      </c>
      <c r="Q69" s="37" t="s">
        <v>23</v>
      </c>
    </row>
    <row r="70" spans="1:17" ht="30" customHeight="1" x14ac:dyDescent="0.35">
      <c r="A70" s="21">
        <f t="shared" si="3"/>
        <v>69</v>
      </c>
      <c r="B70" s="22" t="s">
        <v>135</v>
      </c>
      <c r="C70" s="28" t="s">
        <v>261</v>
      </c>
      <c r="D70" s="24" t="s">
        <v>262</v>
      </c>
      <c r="E70" s="25">
        <v>45943</v>
      </c>
      <c r="F70" s="25" t="s">
        <v>113</v>
      </c>
      <c r="G70" s="26" t="s">
        <v>114</v>
      </c>
      <c r="H70" s="27">
        <v>332</v>
      </c>
      <c r="I70" s="26" t="s">
        <v>121</v>
      </c>
      <c r="J70" s="28" t="s">
        <v>263</v>
      </c>
      <c r="K70" s="28" t="s">
        <v>123</v>
      </c>
      <c r="L70" s="28" t="s">
        <v>123</v>
      </c>
      <c r="M70" s="29">
        <v>1</v>
      </c>
      <c r="N70" s="30" t="s">
        <v>24</v>
      </c>
      <c r="O70" s="29">
        <v>1</v>
      </c>
      <c r="P70" s="30" t="s">
        <v>24</v>
      </c>
      <c r="Q70" s="30" t="s">
        <v>24</v>
      </c>
    </row>
    <row r="71" spans="1:17" ht="30" customHeight="1" x14ac:dyDescent="0.35">
      <c r="A71" s="21">
        <f t="shared" si="3"/>
        <v>70</v>
      </c>
      <c r="B71" s="22" t="s">
        <v>117</v>
      </c>
      <c r="C71" s="28" t="s">
        <v>264</v>
      </c>
      <c r="D71" s="28" t="s">
        <v>265</v>
      </c>
      <c r="E71" s="25">
        <v>45975</v>
      </c>
      <c r="F71" s="26" t="s">
        <v>113</v>
      </c>
      <c r="G71" s="26" t="s">
        <v>132</v>
      </c>
      <c r="H71" s="27">
        <v>6066</v>
      </c>
      <c r="I71" s="26" t="s">
        <v>28</v>
      </c>
      <c r="J71" s="33" t="s">
        <v>266</v>
      </c>
      <c r="K71" s="23" t="s">
        <v>267</v>
      </c>
      <c r="L71" s="23"/>
      <c r="M71" s="29"/>
      <c r="N71" s="37"/>
      <c r="O71" s="29"/>
      <c r="P71" s="37"/>
      <c r="Q71" s="37" t="s">
        <v>23</v>
      </c>
    </row>
    <row r="72" spans="1:17" ht="30" customHeight="1" x14ac:dyDescent="0.35">
      <c r="A72" s="21">
        <f t="shared" si="3"/>
        <v>71</v>
      </c>
      <c r="B72" s="22" t="s">
        <v>117</v>
      </c>
      <c r="C72" s="28" t="s">
        <v>268</v>
      </c>
      <c r="D72" s="28" t="s">
        <v>269</v>
      </c>
      <c r="E72" s="25">
        <v>45960</v>
      </c>
      <c r="F72" s="26" t="s">
        <v>113</v>
      </c>
      <c r="G72" s="26" t="s">
        <v>132</v>
      </c>
      <c r="H72" s="27">
        <v>129</v>
      </c>
      <c r="I72" s="26" t="s">
        <v>28</v>
      </c>
      <c r="J72" s="33" t="s">
        <v>218</v>
      </c>
      <c r="K72" s="23" t="s">
        <v>249</v>
      </c>
      <c r="L72" s="23"/>
      <c r="M72" s="29"/>
      <c r="N72" s="37"/>
      <c r="O72" s="29"/>
      <c r="P72" s="37"/>
      <c r="Q72" s="37" t="s">
        <v>23</v>
      </c>
    </row>
    <row r="73" spans="1:17" ht="30" customHeight="1" x14ac:dyDescent="0.35">
      <c r="A73" s="21">
        <f t="shared" si="3"/>
        <v>72</v>
      </c>
      <c r="B73" s="22" t="s">
        <v>117</v>
      </c>
      <c r="C73" s="28" t="s">
        <v>270</v>
      </c>
      <c r="D73" s="28" t="s">
        <v>271</v>
      </c>
      <c r="E73" s="25">
        <v>45961</v>
      </c>
      <c r="F73" s="26" t="s">
        <v>113</v>
      </c>
      <c r="G73" s="26" t="s">
        <v>132</v>
      </c>
      <c r="H73" s="27">
        <v>126</v>
      </c>
      <c r="I73" s="26" t="s">
        <v>74</v>
      </c>
      <c r="J73" s="33" t="s">
        <v>218</v>
      </c>
      <c r="K73" s="23" t="s">
        <v>249</v>
      </c>
      <c r="L73" s="23"/>
      <c r="M73" s="29"/>
      <c r="N73" s="37"/>
      <c r="O73" s="29"/>
      <c r="P73" s="37"/>
      <c r="Q73" s="37" t="s">
        <v>23</v>
      </c>
    </row>
    <row r="74" spans="1:17" ht="32" customHeight="1" x14ac:dyDescent="0.35">
      <c r="A74" s="21">
        <f t="shared" ref="A74:A105" si="4">A73+1</f>
        <v>73</v>
      </c>
      <c r="B74" s="39" t="s">
        <v>117</v>
      </c>
      <c r="C74" s="26" t="s">
        <v>272</v>
      </c>
      <c r="D74" s="24" t="s">
        <v>273</v>
      </c>
      <c r="E74" s="25">
        <v>45965</v>
      </c>
      <c r="F74" s="26" t="s">
        <v>113</v>
      </c>
      <c r="G74" s="40" t="s">
        <v>132</v>
      </c>
      <c r="H74" s="34">
        <v>3044</v>
      </c>
      <c r="I74" s="26" t="s">
        <v>28</v>
      </c>
      <c r="J74" s="41" t="s">
        <v>274</v>
      </c>
      <c r="K74" s="35" t="s">
        <v>249</v>
      </c>
      <c r="L74" s="35"/>
      <c r="M74" s="29"/>
      <c r="N74" s="37"/>
      <c r="O74" s="29"/>
      <c r="P74" s="37"/>
      <c r="Q74" s="37" t="s">
        <v>23</v>
      </c>
    </row>
    <row r="75" spans="1:17" ht="30" customHeight="1" x14ac:dyDescent="0.35">
      <c r="A75" s="21">
        <f t="shared" si="4"/>
        <v>74</v>
      </c>
      <c r="B75" s="22" t="s">
        <v>15</v>
      </c>
      <c r="C75" s="28" t="s">
        <v>275</v>
      </c>
      <c r="D75" s="24" t="s">
        <v>276</v>
      </c>
      <c r="E75" s="42">
        <v>45972</v>
      </c>
      <c r="F75" s="26" t="s">
        <v>113</v>
      </c>
      <c r="G75" s="40" t="s">
        <v>27</v>
      </c>
      <c r="H75" s="34">
        <v>789</v>
      </c>
      <c r="I75" s="26" t="s">
        <v>28</v>
      </c>
      <c r="J75" s="28" t="s">
        <v>277</v>
      </c>
      <c r="K75" s="23" t="s">
        <v>249</v>
      </c>
      <c r="L75" s="23" t="s">
        <v>249</v>
      </c>
      <c r="M75" s="29">
        <v>1</v>
      </c>
      <c r="N75" s="30" t="s">
        <v>24</v>
      </c>
      <c r="O75" s="29">
        <v>0.9</v>
      </c>
      <c r="P75" s="30" t="s">
        <v>23</v>
      </c>
      <c r="Q75" s="37" t="s">
        <v>23</v>
      </c>
    </row>
    <row r="76" spans="1:17" ht="30" customHeight="1" x14ac:dyDescent="0.35">
      <c r="A76" s="21">
        <f t="shared" si="4"/>
        <v>75</v>
      </c>
      <c r="B76" s="22" t="s">
        <v>117</v>
      </c>
      <c r="C76" s="28" t="s">
        <v>278</v>
      </c>
      <c r="D76" s="28" t="s">
        <v>279</v>
      </c>
      <c r="E76" s="25">
        <v>45973</v>
      </c>
      <c r="F76" s="26" t="s">
        <v>113</v>
      </c>
      <c r="G76" s="26" t="s">
        <v>132</v>
      </c>
      <c r="H76" s="27">
        <v>132</v>
      </c>
      <c r="I76" s="26" t="s">
        <v>20</v>
      </c>
      <c r="J76" s="33" t="s">
        <v>218</v>
      </c>
      <c r="K76" s="23" t="s">
        <v>249</v>
      </c>
      <c r="L76" s="23"/>
      <c r="M76" s="29">
        <v>1</v>
      </c>
      <c r="N76" s="37"/>
      <c r="O76" s="29">
        <v>1</v>
      </c>
      <c r="P76" s="30" t="s">
        <v>24</v>
      </c>
      <c r="Q76" s="37" t="s">
        <v>23</v>
      </c>
    </row>
    <row r="77" spans="1:17" ht="30" customHeight="1" x14ac:dyDescent="0.35">
      <c r="A77" s="21">
        <f t="shared" si="4"/>
        <v>76</v>
      </c>
      <c r="B77" s="22" t="s">
        <v>135</v>
      </c>
      <c r="C77" s="28" t="s">
        <v>280</v>
      </c>
      <c r="D77" s="28" t="s">
        <v>281</v>
      </c>
      <c r="E77" s="25">
        <v>45928</v>
      </c>
      <c r="F77" s="25" t="s">
        <v>113</v>
      </c>
      <c r="G77" s="26" t="s">
        <v>114</v>
      </c>
      <c r="H77" s="27">
        <v>4790</v>
      </c>
      <c r="I77" s="26" t="s">
        <v>28</v>
      </c>
      <c r="J77" s="28" t="s">
        <v>282</v>
      </c>
      <c r="K77" s="23" t="s">
        <v>283</v>
      </c>
      <c r="L77" s="23" t="s">
        <v>284</v>
      </c>
      <c r="M77" s="29">
        <v>1</v>
      </c>
      <c r="N77" s="30" t="s">
        <v>24</v>
      </c>
      <c r="O77" s="29">
        <v>1</v>
      </c>
      <c r="P77" s="30" t="s">
        <v>24</v>
      </c>
      <c r="Q77" s="37" t="s">
        <v>23</v>
      </c>
    </row>
    <row r="78" spans="1:17" ht="30" customHeight="1" x14ac:dyDescent="0.35">
      <c r="A78" s="21">
        <f t="shared" si="4"/>
        <v>77</v>
      </c>
      <c r="B78" s="22" t="s">
        <v>117</v>
      </c>
      <c r="C78" s="28" t="s">
        <v>285</v>
      </c>
      <c r="D78" s="28" t="s">
        <v>286</v>
      </c>
      <c r="E78" s="25">
        <v>45975</v>
      </c>
      <c r="F78" s="26" t="s">
        <v>113</v>
      </c>
      <c r="G78" s="26" t="s">
        <v>132</v>
      </c>
      <c r="H78" s="34">
        <v>82.1</v>
      </c>
      <c r="I78" s="26" t="s">
        <v>74</v>
      </c>
      <c r="J78" s="33" t="s">
        <v>129</v>
      </c>
      <c r="K78" s="23" t="s">
        <v>249</v>
      </c>
      <c r="L78" s="23"/>
      <c r="M78" s="29"/>
      <c r="N78" s="37"/>
      <c r="O78" s="29"/>
      <c r="P78" s="37"/>
      <c r="Q78" s="37" t="s">
        <v>23</v>
      </c>
    </row>
    <row r="79" spans="1:17" ht="30" customHeight="1" x14ac:dyDescent="0.35">
      <c r="A79" s="21">
        <f t="shared" si="4"/>
        <v>78</v>
      </c>
      <c r="B79" s="22" t="s">
        <v>117</v>
      </c>
      <c r="C79" s="28" t="s">
        <v>287</v>
      </c>
      <c r="D79" s="28" t="s">
        <v>288</v>
      </c>
      <c r="E79" s="25">
        <v>45975</v>
      </c>
      <c r="F79" s="26" t="s">
        <v>113</v>
      </c>
      <c r="G79" s="26" t="s">
        <v>132</v>
      </c>
      <c r="H79" s="27">
        <v>29892</v>
      </c>
      <c r="I79" s="26" t="s">
        <v>28</v>
      </c>
      <c r="J79" s="28" t="s">
        <v>289</v>
      </c>
      <c r="K79" s="23" t="s">
        <v>249</v>
      </c>
      <c r="L79" s="23"/>
      <c r="M79" s="29"/>
      <c r="N79" s="37"/>
      <c r="O79" s="29"/>
      <c r="P79" s="37"/>
      <c r="Q79" s="37" t="s">
        <v>23</v>
      </c>
    </row>
    <row r="80" spans="1:17" ht="30" customHeight="1" x14ac:dyDescent="0.35">
      <c r="A80" s="21">
        <f t="shared" si="4"/>
        <v>79</v>
      </c>
      <c r="B80" s="31" t="s">
        <v>117</v>
      </c>
      <c r="C80" s="28" t="s">
        <v>290</v>
      </c>
      <c r="D80" s="28" t="s">
        <v>291</v>
      </c>
      <c r="E80" s="25">
        <v>45975</v>
      </c>
      <c r="F80" s="26" t="s">
        <v>113</v>
      </c>
      <c r="G80" s="26" t="s">
        <v>132</v>
      </c>
      <c r="H80" s="27" t="s">
        <v>292</v>
      </c>
      <c r="I80" s="26" t="s">
        <v>28</v>
      </c>
      <c r="J80" s="33" t="s">
        <v>293</v>
      </c>
      <c r="K80" s="23" t="s">
        <v>249</v>
      </c>
      <c r="L80" s="23"/>
      <c r="M80" s="29"/>
      <c r="N80" s="37"/>
      <c r="O80" s="29"/>
      <c r="P80" s="37"/>
      <c r="Q80" s="37" t="s">
        <v>23</v>
      </c>
    </row>
    <row r="81" spans="1:200" ht="30" customHeight="1" x14ac:dyDescent="0.35">
      <c r="A81" s="21">
        <f t="shared" si="4"/>
        <v>80</v>
      </c>
      <c r="B81" s="22" t="s">
        <v>15</v>
      </c>
      <c r="C81" s="28" t="s">
        <v>294</v>
      </c>
      <c r="D81" s="28" t="s">
        <v>295</v>
      </c>
      <c r="E81" s="25">
        <v>45996</v>
      </c>
      <c r="F81" s="36" t="s">
        <v>113</v>
      </c>
      <c r="G81" s="26" t="s">
        <v>114</v>
      </c>
      <c r="H81" s="27">
        <v>447</v>
      </c>
      <c r="I81" s="26" t="s">
        <v>74</v>
      </c>
      <c r="J81" s="28" t="s">
        <v>296</v>
      </c>
      <c r="K81" s="23" t="s">
        <v>297</v>
      </c>
      <c r="L81" s="23" t="s">
        <v>297</v>
      </c>
      <c r="M81" s="29">
        <v>1</v>
      </c>
      <c r="N81" s="30" t="s">
        <v>24</v>
      </c>
      <c r="O81" s="29">
        <v>1</v>
      </c>
      <c r="P81" s="30" t="s">
        <v>24</v>
      </c>
      <c r="Q81" s="37" t="s">
        <v>23</v>
      </c>
    </row>
    <row r="82" spans="1:200" ht="26" customHeight="1" x14ac:dyDescent="0.35">
      <c r="A82" s="21">
        <f t="shared" si="4"/>
        <v>81</v>
      </c>
      <c r="B82" s="31" t="s">
        <v>117</v>
      </c>
      <c r="C82" s="28" t="s">
        <v>298</v>
      </c>
      <c r="D82" s="28" t="s">
        <v>299</v>
      </c>
      <c r="E82" s="25">
        <v>45975</v>
      </c>
      <c r="F82" s="26" t="s">
        <v>113</v>
      </c>
      <c r="G82" s="40" t="s">
        <v>132</v>
      </c>
      <c r="H82" s="27">
        <v>4899</v>
      </c>
      <c r="I82" s="26" t="s">
        <v>28</v>
      </c>
      <c r="J82" s="28" t="s">
        <v>300</v>
      </c>
      <c r="K82" s="23" t="s">
        <v>249</v>
      </c>
      <c r="L82" s="23"/>
      <c r="M82" s="29"/>
      <c r="N82" s="37"/>
      <c r="O82" s="29"/>
      <c r="P82" s="37"/>
      <c r="Q82" s="37" t="s">
        <v>23</v>
      </c>
    </row>
    <row r="83" spans="1:200" ht="33" customHeight="1" x14ac:dyDescent="0.35">
      <c r="A83" s="21">
        <f t="shared" si="4"/>
        <v>82</v>
      </c>
      <c r="B83" s="22" t="s">
        <v>117</v>
      </c>
      <c r="C83" s="28" t="s">
        <v>301</v>
      </c>
      <c r="D83" s="28" t="s">
        <v>302</v>
      </c>
      <c r="E83" s="25">
        <v>45975</v>
      </c>
      <c r="F83" s="26" t="s">
        <v>113</v>
      </c>
      <c r="G83" s="40" t="s">
        <v>132</v>
      </c>
      <c r="H83" s="27">
        <v>6428</v>
      </c>
      <c r="I83" s="26" t="s">
        <v>28</v>
      </c>
      <c r="J83" s="28" t="s">
        <v>303</v>
      </c>
      <c r="K83" s="23" t="s">
        <v>249</v>
      </c>
      <c r="L83" s="23"/>
      <c r="M83" s="29"/>
      <c r="N83" s="37"/>
      <c r="O83" s="29"/>
      <c r="P83" s="37"/>
      <c r="Q83" s="37" t="s">
        <v>23</v>
      </c>
    </row>
    <row r="84" spans="1:200" ht="26" customHeight="1" x14ac:dyDescent="0.35">
      <c r="A84" s="21">
        <f t="shared" si="4"/>
        <v>83</v>
      </c>
      <c r="B84" s="22" t="s">
        <v>117</v>
      </c>
      <c r="C84" s="28" t="s">
        <v>304</v>
      </c>
      <c r="D84" s="28" t="s">
        <v>305</v>
      </c>
      <c r="E84" s="25">
        <v>45979</v>
      </c>
      <c r="F84" s="26" t="s">
        <v>113</v>
      </c>
      <c r="G84" s="26" t="s">
        <v>132</v>
      </c>
      <c r="H84" s="27">
        <v>40.39</v>
      </c>
      <c r="I84" s="26" t="s">
        <v>74</v>
      </c>
      <c r="J84" s="28" t="s">
        <v>306</v>
      </c>
      <c r="K84" s="23" t="s">
        <v>249</v>
      </c>
      <c r="L84" s="23"/>
      <c r="M84" s="29"/>
      <c r="N84" s="37"/>
      <c r="O84" s="29"/>
      <c r="P84" s="37"/>
      <c r="Q84" s="37" t="s">
        <v>23</v>
      </c>
    </row>
    <row r="85" spans="1:200" ht="26" customHeight="1" x14ac:dyDescent="0.35">
      <c r="A85" s="21">
        <f t="shared" si="4"/>
        <v>84</v>
      </c>
      <c r="B85" s="22" t="s">
        <v>117</v>
      </c>
      <c r="C85" s="28" t="s">
        <v>307</v>
      </c>
      <c r="D85" s="28" t="s">
        <v>308</v>
      </c>
      <c r="E85" s="25">
        <v>45993</v>
      </c>
      <c r="F85" s="26" t="s">
        <v>113</v>
      </c>
      <c r="G85" s="40" t="s">
        <v>132</v>
      </c>
      <c r="H85" s="34">
        <v>518</v>
      </c>
      <c r="I85" s="26" t="s">
        <v>28</v>
      </c>
      <c r="J85" s="33" t="s">
        <v>309</v>
      </c>
      <c r="K85" s="23" t="s">
        <v>155</v>
      </c>
      <c r="L85" s="23"/>
      <c r="M85" s="29"/>
      <c r="N85" s="37"/>
      <c r="O85" s="29"/>
      <c r="P85" s="37"/>
      <c r="Q85" s="37" t="s">
        <v>23</v>
      </c>
    </row>
    <row r="86" spans="1:200" ht="25.05" customHeight="1" x14ac:dyDescent="0.35">
      <c r="A86" s="21">
        <f t="shared" si="4"/>
        <v>85</v>
      </c>
      <c r="B86" s="22" t="s">
        <v>117</v>
      </c>
      <c r="C86" s="28" t="s">
        <v>310</v>
      </c>
      <c r="D86" s="28" t="s">
        <v>311</v>
      </c>
      <c r="E86" s="25">
        <v>45996</v>
      </c>
      <c r="F86" s="26" t="s">
        <v>113</v>
      </c>
      <c r="G86" s="26" t="s">
        <v>132</v>
      </c>
      <c r="H86" s="27">
        <v>42.06</v>
      </c>
      <c r="I86" s="26" t="s">
        <v>74</v>
      </c>
      <c r="J86" s="28" t="s">
        <v>312</v>
      </c>
      <c r="K86" s="23" t="s">
        <v>249</v>
      </c>
      <c r="L86" s="23"/>
      <c r="M86" s="29"/>
      <c r="N86" s="37"/>
      <c r="O86" s="29"/>
      <c r="P86" s="37"/>
      <c r="Q86" s="37" t="s">
        <v>23</v>
      </c>
    </row>
    <row r="87" spans="1:200" ht="26" customHeight="1" x14ac:dyDescent="0.35">
      <c r="A87" s="21">
        <f t="shared" si="4"/>
        <v>86</v>
      </c>
      <c r="B87" s="22" t="s">
        <v>117</v>
      </c>
      <c r="C87" s="28" t="s">
        <v>313</v>
      </c>
      <c r="D87" s="28" t="s">
        <v>314</v>
      </c>
      <c r="E87" s="25">
        <v>45996</v>
      </c>
      <c r="F87" s="26" t="s">
        <v>113</v>
      </c>
      <c r="G87" s="26" t="s">
        <v>132</v>
      </c>
      <c r="H87" s="27">
        <v>45.35</v>
      </c>
      <c r="I87" s="26" t="s">
        <v>74</v>
      </c>
      <c r="J87" s="28" t="s">
        <v>315</v>
      </c>
      <c r="K87" s="23" t="s">
        <v>249</v>
      </c>
      <c r="L87" s="23"/>
      <c r="M87" s="29"/>
      <c r="N87" s="37"/>
      <c r="O87" s="29"/>
      <c r="P87" s="37"/>
      <c r="Q87" s="37" t="s">
        <v>23</v>
      </c>
    </row>
    <row r="88" spans="1:200" ht="30" customHeight="1" x14ac:dyDescent="0.35">
      <c r="A88" s="21">
        <f t="shared" si="4"/>
        <v>87</v>
      </c>
      <c r="B88" s="22" t="s">
        <v>117</v>
      </c>
      <c r="C88" s="28" t="s">
        <v>316</v>
      </c>
      <c r="D88" s="28" t="s">
        <v>317</v>
      </c>
      <c r="E88" s="25">
        <v>45996</v>
      </c>
      <c r="F88" s="26" t="s">
        <v>113</v>
      </c>
      <c r="G88" s="26" t="s">
        <v>132</v>
      </c>
      <c r="H88" s="27">
        <v>40.39</v>
      </c>
      <c r="I88" s="26" t="s">
        <v>20</v>
      </c>
      <c r="J88" s="28" t="s">
        <v>318</v>
      </c>
      <c r="K88" s="23" t="s">
        <v>155</v>
      </c>
      <c r="L88" s="23"/>
      <c r="M88" s="29">
        <v>1</v>
      </c>
      <c r="N88" s="37"/>
      <c r="O88" s="29">
        <v>1</v>
      </c>
      <c r="P88" s="30" t="s">
        <v>24</v>
      </c>
      <c r="Q88" s="37" t="s">
        <v>23</v>
      </c>
    </row>
    <row r="89" spans="1:200" ht="30" customHeight="1" x14ac:dyDescent="0.35">
      <c r="A89" s="21">
        <f t="shared" si="4"/>
        <v>88</v>
      </c>
      <c r="B89" s="22" t="s">
        <v>144</v>
      </c>
      <c r="C89" s="28" t="s">
        <v>319</v>
      </c>
      <c r="D89" s="28" t="s">
        <v>320</v>
      </c>
      <c r="E89" s="25">
        <v>45698</v>
      </c>
      <c r="F89" s="26" t="s">
        <v>113</v>
      </c>
      <c r="G89" s="26" t="s">
        <v>147</v>
      </c>
      <c r="H89" s="27">
        <v>112</v>
      </c>
      <c r="I89" s="26" t="s">
        <v>20</v>
      </c>
      <c r="J89" s="33" t="s">
        <v>321</v>
      </c>
      <c r="K89" s="23" t="s">
        <v>322</v>
      </c>
      <c r="L89" s="23"/>
      <c r="M89" s="29">
        <v>1</v>
      </c>
      <c r="N89" s="37"/>
      <c r="O89" s="29">
        <v>1</v>
      </c>
      <c r="P89" s="30" t="s">
        <v>24</v>
      </c>
      <c r="Q89" s="37" t="s">
        <v>23</v>
      </c>
    </row>
    <row r="90" spans="1:200" ht="30" customHeight="1" x14ac:dyDescent="0.35">
      <c r="A90" s="21">
        <f t="shared" si="4"/>
        <v>89</v>
      </c>
      <c r="B90" s="31" t="s">
        <v>117</v>
      </c>
      <c r="C90" s="28" t="s">
        <v>323</v>
      </c>
      <c r="D90" s="28" t="s">
        <v>324</v>
      </c>
      <c r="E90" s="25">
        <v>46001</v>
      </c>
      <c r="F90" s="26" t="s">
        <v>113</v>
      </c>
      <c r="G90" s="26" t="s">
        <v>132</v>
      </c>
      <c r="H90" s="27">
        <v>71.41</v>
      </c>
      <c r="I90" s="26" t="s">
        <v>74</v>
      </c>
      <c r="J90" s="28" t="s">
        <v>325</v>
      </c>
      <c r="K90" s="23" t="s">
        <v>326</v>
      </c>
      <c r="L90" s="23"/>
      <c r="M90" s="29"/>
      <c r="N90" s="37"/>
      <c r="O90" s="29"/>
      <c r="P90" s="37"/>
      <c r="Q90" s="37" t="s">
        <v>23</v>
      </c>
    </row>
    <row r="91" spans="1:200" ht="30" customHeight="1" x14ac:dyDescent="0.35">
      <c r="A91" s="21">
        <f t="shared" si="4"/>
        <v>90</v>
      </c>
      <c r="B91" s="22" t="s">
        <v>117</v>
      </c>
      <c r="C91" s="28" t="s">
        <v>327</v>
      </c>
      <c r="D91" s="28" t="s">
        <v>328</v>
      </c>
      <c r="E91" s="25">
        <v>46015</v>
      </c>
      <c r="F91" s="26" t="s">
        <v>113</v>
      </c>
      <c r="G91" s="26" t="s">
        <v>132</v>
      </c>
      <c r="H91" s="27">
        <v>175</v>
      </c>
      <c r="I91" s="26" t="s">
        <v>74</v>
      </c>
      <c r="J91" s="28" t="s">
        <v>154</v>
      </c>
      <c r="K91" s="23" t="s">
        <v>326</v>
      </c>
      <c r="L91" s="23"/>
      <c r="M91" s="29"/>
      <c r="N91" s="37"/>
      <c r="O91" s="29"/>
      <c r="P91" s="37"/>
      <c r="Q91" s="37" t="s">
        <v>23</v>
      </c>
      <c r="GG91" s="4"/>
      <c r="GH91" s="43"/>
      <c r="GI91" s="44"/>
      <c r="GJ91" s="44"/>
      <c r="GK91" s="45"/>
      <c r="GL91" s="46"/>
      <c r="GM91" s="46"/>
      <c r="GN91" s="43"/>
      <c r="GO91" s="47"/>
      <c r="GP91" s="48"/>
      <c r="GQ91" s="49"/>
      <c r="GR91" s="50"/>
    </row>
    <row r="92" spans="1:200" ht="30" customHeight="1" x14ac:dyDescent="0.35">
      <c r="A92" s="21">
        <f t="shared" si="4"/>
        <v>91</v>
      </c>
      <c r="B92" s="22" t="s">
        <v>117</v>
      </c>
      <c r="C92" s="28" t="s">
        <v>329</v>
      </c>
      <c r="D92" s="28" t="s">
        <v>330</v>
      </c>
      <c r="E92" s="25">
        <v>46057</v>
      </c>
      <c r="F92" s="26" t="s">
        <v>113</v>
      </c>
      <c r="G92" s="40" t="s">
        <v>132</v>
      </c>
      <c r="H92" s="27">
        <v>72</v>
      </c>
      <c r="I92" s="26" t="s">
        <v>20</v>
      </c>
      <c r="J92" s="33" t="s">
        <v>331</v>
      </c>
      <c r="K92" s="23" t="s">
        <v>155</v>
      </c>
      <c r="L92" s="23"/>
      <c r="M92" s="29">
        <v>1</v>
      </c>
      <c r="N92" s="37"/>
      <c r="O92" s="29">
        <v>1</v>
      </c>
      <c r="P92" s="30" t="s">
        <v>24</v>
      </c>
      <c r="Q92" s="37" t="s">
        <v>23</v>
      </c>
    </row>
    <row r="93" spans="1:200" ht="30" customHeight="1" x14ac:dyDescent="0.35">
      <c r="A93" s="21">
        <f t="shared" si="4"/>
        <v>92</v>
      </c>
      <c r="B93" s="22" t="s">
        <v>135</v>
      </c>
      <c r="C93" s="28" t="s">
        <v>332</v>
      </c>
      <c r="D93" s="28" t="s">
        <v>333</v>
      </c>
      <c r="E93" s="25">
        <v>46057</v>
      </c>
      <c r="F93" s="26" t="s">
        <v>113</v>
      </c>
      <c r="G93" s="26" t="s">
        <v>114</v>
      </c>
      <c r="H93" s="27">
        <v>1910</v>
      </c>
      <c r="I93" s="26" t="s">
        <v>28</v>
      </c>
      <c r="J93" s="33" t="s">
        <v>334</v>
      </c>
      <c r="K93" s="23" t="s">
        <v>335</v>
      </c>
      <c r="L93" s="23" t="s">
        <v>335</v>
      </c>
      <c r="M93" s="29">
        <v>1</v>
      </c>
      <c r="N93" s="30" t="s">
        <v>24</v>
      </c>
      <c r="O93" s="29">
        <v>1</v>
      </c>
      <c r="P93" s="30" t="s">
        <v>24</v>
      </c>
      <c r="Q93" s="37" t="s">
        <v>23</v>
      </c>
    </row>
    <row r="94" spans="1:200" ht="30" customHeight="1" x14ac:dyDescent="0.35">
      <c r="A94" s="21">
        <f t="shared" si="4"/>
        <v>93</v>
      </c>
      <c r="B94" s="22" t="s">
        <v>117</v>
      </c>
      <c r="C94" s="28" t="s">
        <v>336</v>
      </c>
      <c r="D94" s="28" t="s">
        <v>337</v>
      </c>
      <c r="E94" s="25">
        <v>46077</v>
      </c>
      <c r="F94" s="26" t="s">
        <v>113</v>
      </c>
      <c r="G94" s="26" t="s">
        <v>132</v>
      </c>
      <c r="H94" s="27">
        <v>55.47</v>
      </c>
      <c r="I94" s="26" t="s">
        <v>74</v>
      </c>
      <c r="J94" s="28" t="s">
        <v>338</v>
      </c>
      <c r="K94" s="23" t="s">
        <v>339</v>
      </c>
      <c r="L94" s="23"/>
      <c r="M94" s="29"/>
      <c r="N94" s="37"/>
      <c r="O94" s="29"/>
      <c r="P94" s="37"/>
      <c r="Q94" s="37" t="s">
        <v>23</v>
      </c>
      <c r="GG94" s="4"/>
      <c r="GH94" s="43"/>
      <c r="GI94" s="44"/>
      <c r="GJ94" s="44"/>
      <c r="GK94" s="45"/>
      <c r="GL94" s="46"/>
      <c r="GM94" s="46"/>
      <c r="GN94" s="43"/>
      <c r="GO94" s="47"/>
      <c r="GP94" s="48"/>
      <c r="GQ94" s="49"/>
      <c r="GR94" s="50"/>
    </row>
    <row r="95" spans="1:200" ht="30" customHeight="1" x14ac:dyDescent="0.35">
      <c r="A95" s="21">
        <f t="shared" si="4"/>
        <v>94</v>
      </c>
      <c r="B95" s="22" t="s">
        <v>117</v>
      </c>
      <c r="C95" s="28" t="s">
        <v>340</v>
      </c>
      <c r="D95" s="28" t="s">
        <v>341</v>
      </c>
      <c r="E95" s="25">
        <v>46077</v>
      </c>
      <c r="F95" s="26" t="s">
        <v>113</v>
      </c>
      <c r="G95" s="26" t="s">
        <v>132</v>
      </c>
      <c r="H95" s="27">
        <v>129</v>
      </c>
      <c r="I95" s="26" t="s">
        <v>28</v>
      </c>
      <c r="J95" s="28" t="s">
        <v>218</v>
      </c>
      <c r="K95" s="23" t="s">
        <v>249</v>
      </c>
      <c r="L95" s="23"/>
      <c r="M95" s="29"/>
      <c r="N95" s="37"/>
      <c r="O95" s="29"/>
      <c r="P95" s="37"/>
      <c r="Q95" s="37" t="s">
        <v>23</v>
      </c>
      <c r="GG95" s="4"/>
      <c r="GH95" s="43"/>
      <c r="GI95" s="44"/>
      <c r="GJ95" s="44"/>
      <c r="GK95" s="45"/>
      <c r="GL95" s="46"/>
      <c r="GM95" s="46"/>
      <c r="GN95" s="43"/>
      <c r="GO95" s="47"/>
      <c r="GP95" s="48"/>
      <c r="GQ95" s="49"/>
      <c r="GR95" s="50"/>
    </row>
    <row r="96" spans="1:200" ht="30" customHeight="1" x14ac:dyDescent="0.35">
      <c r="A96" s="21">
        <f t="shared" si="4"/>
        <v>95</v>
      </c>
      <c r="B96" s="22" t="s">
        <v>15</v>
      </c>
      <c r="C96" s="28" t="s">
        <v>342</v>
      </c>
      <c r="D96" s="24" t="s">
        <v>343</v>
      </c>
      <c r="E96" s="25">
        <v>46087</v>
      </c>
      <c r="F96" s="26" t="s">
        <v>113</v>
      </c>
      <c r="G96" s="40" t="s">
        <v>27</v>
      </c>
      <c r="H96" s="34">
        <v>1315</v>
      </c>
      <c r="I96" s="26" t="s">
        <v>74</v>
      </c>
      <c r="J96" s="28" t="s">
        <v>344</v>
      </c>
      <c r="K96" s="23" t="s">
        <v>345</v>
      </c>
      <c r="L96" s="23" t="s">
        <v>345</v>
      </c>
      <c r="M96" s="29">
        <v>1</v>
      </c>
      <c r="N96" s="30" t="s">
        <v>24</v>
      </c>
      <c r="O96" s="29">
        <v>0.2</v>
      </c>
      <c r="P96" s="30" t="s">
        <v>23</v>
      </c>
      <c r="Q96" s="37" t="s">
        <v>23</v>
      </c>
    </row>
    <row r="97" spans="1:200" ht="30" customHeight="1" x14ac:dyDescent="0.35">
      <c r="A97" s="21">
        <f t="shared" si="4"/>
        <v>96</v>
      </c>
      <c r="B97" s="22" t="s">
        <v>15</v>
      </c>
      <c r="C97" s="28" t="s">
        <v>346</v>
      </c>
      <c r="D97" s="24" t="s">
        <v>347</v>
      </c>
      <c r="E97" s="25">
        <v>46091</v>
      </c>
      <c r="F97" s="25" t="s">
        <v>113</v>
      </c>
      <c r="G97" s="40" t="s">
        <v>27</v>
      </c>
      <c r="H97" s="34">
        <v>2443</v>
      </c>
      <c r="I97" s="26" t="s">
        <v>74</v>
      </c>
      <c r="J97" s="28" t="s">
        <v>348</v>
      </c>
      <c r="K97" s="23" t="s">
        <v>345</v>
      </c>
      <c r="L97" s="23" t="s">
        <v>345</v>
      </c>
      <c r="M97" s="29">
        <v>1</v>
      </c>
      <c r="N97" s="30" t="s">
        <v>24</v>
      </c>
      <c r="O97" s="29">
        <v>0.6</v>
      </c>
      <c r="P97" s="30" t="s">
        <v>23</v>
      </c>
      <c r="Q97" s="37" t="s">
        <v>23</v>
      </c>
    </row>
    <row r="98" spans="1:200" ht="30" customHeight="1" x14ac:dyDescent="0.35">
      <c r="A98" s="21">
        <f t="shared" si="4"/>
        <v>97</v>
      </c>
      <c r="B98" s="22" t="s">
        <v>117</v>
      </c>
      <c r="C98" s="28" t="s">
        <v>349</v>
      </c>
      <c r="D98" s="28" t="s">
        <v>350</v>
      </c>
      <c r="E98" s="25">
        <v>46134</v>
      </c>
      <c r="F98" s="26" t="s">
        <v>113</v>
      </c>
      <c r="G98" s="26" t="s">
        <v>132</v>
      </c>
      <c r="H98" s="27">
        <v>213.84</v>
      </c>
      <c r="I98" s="26" t="s">
        <v>74</v>
      </c>
      <c r="J98" s="28" t="s">
        <v>161</v>
      </c>
      <c r="K98" s="23" t="s">
        <v>339</v>
      </c>
      <c r="L98" s="23"/>
      <c r="M98" s="29"/>
      <c r="N98" s="37"/>
      <c r="O98" s="29"/>
      <c r="P98" s="37"/>
      <c r="Q98" s="37" t="s">
        <v>23</v>
      </c>
      <c r="GG98" s="4"/>
      <c r="GH98" s="43"/>
      <c r="GI98" s="44"/>
      <c r="GJ98" s="44"/>
      <c r="GK98" s="45"/>
      <c r="GL98" s="46"/>
      <c r="GM98" s="46"/>
      <c r="GN98" s="43"/>
      <c r="GO98" s="47"/>
      <c r="GP98" s="48"/>
      <c r="GQ98" s="49"/>
      <c r="GR98" s="50"/>
    </row>
    <row r="99" spans="1:200" ht="33" customHeight="1" x14ac:dyDescent="0.35">
      <c r="A99" s="21">
        <f t="shared" si="4"/>
        <v>98</v>
      </c>
      <c r="B99" s="22" t="s">
        <v>135</v>
      </c>
      <c r="C99" s="28" t="s">
        <v>351</v>
      </c>
      <c r="D99" s="28" t="s">
        <v>352</v>
      </c>
      <c r="E99" s="25">
        <v>46136</v>
      </c>
      <c r="F99" s="26" t="s">
        <v>113</v>
      </c>
      <c r="G99" s="26" t="s">
        <v>114</v>
      </c>
      <c r="H99" s="27">
        <v>1721</v>
      </c>
      <c r="I99" s="26" t="s">
        <v>74</v>
      </c>
      <c r="J99" s="28" t="s">
        <v>353</v>
      </c>
      <c r="K99" s="23" t="s">
        <v>335</v>
      </c>
      <c r="L99" s="23" t="s">
        <v>335</v>
      </c>
      <c r="M99" s="29">
        <v>1</v>
      </c>
      <c r="N99" s="30" t="s">
        <v>24</v>
      </c>
      <c r="O99" s="29">
        <v>0.25</v>
      </c>
      <c r="P99" s="30" t="s">
        <v>24</v>
      </c>
      <c r="Q99" s="37" t="s">
        <v>23</v>
      </c>
    </row>
    <row r="100" spans="1:200" ht="30" customHeight="1" x14ac:dyDescent="0.35">
      <c r="A100" s="21">
        <f t="shared" si="4"/>
        <v>99</v>
      </c>
      <c r="B100" s="31" t="s">
        <v>117</v>
      </c>
      <c r="C100" s="28" t="s">
        <v>354</v>
      </c>
      <c r="D100" s="28" t="s">
        <v>355</v>
      </c>
      <c r="E100" s="25">
        <v>46138</v>
      </c>
      <c r="F100" s="26" t="s">
        <v>113</v>
      </c>
      <c r="G100" s="26" t="s">
        <v>132</v>
      </c>
      <c r="H100" s="27">
        <v>111</v>
      </c>
      <c r="I100" s="26" t="s">
        <v>74</v>
      </c>
      <c r="J100" s="28" t="s">
        <v>218</v>
      </c>
      <c r="K100" s="23" t="s">
        <v>326</v>
      </c>
      <c r="L100" s="23"/>
      <c r="M100" s="29"/>
      <c r="N100" s="37"/>
      <c r="O100" s="29"/>
      <c r="P100" s="37"/>
      <c r="Q100" s="37" t="s">
        <v>23</v>
      </c>
      <c r="GG100" s="4"/>
      <c r="GH100" s="43"/>
      <c r="GI100" s="44"/>
      <c r="GJ100" s="44"/>
      <c r="GK100" s="45"/>
      <c r="GL100" s="46"/>
      <c r="GM100" s="46"/>
      <c r="GN100" s="43"/>
      <c r="GO100" s="47"/>
      <c r="GP100" s="48"/>
      <c r="GQ100" s="49"/>
      <c r="GR100" s="50"/>
    </row>
    <row r="101" spans="1:200" ht="30" customHeight="1" x14ac:dyDescent="0.35">
      <c r="A101" s="21">
        <f t="shared" si="4"/>
        <v>100</v>
      </c>
      <c r="B101" s="22" t="s">
        <v>117</v>
      </c>
      <c r="C101" s="28" t="s">
        <v>356</v>
      </c>
      <c r="D101" s="28" t="s">
        <v>357</v>
      </c>
      <c r="E101" s="25">
        <v>46162</v>
      </c>
      <c r="F101" s="26" t="s">
        <v>113</v>
      </c>
      <c r="G101" s="26" t="s">
        <v>132</v>
      </c>
      <c r="H101" s="27">
        <v>545.70000000000005</v>
      </c>
      <c r="I101" s="26" t="s">
        <v>74</v>
      </c>
      <c r="J101" s="28" t="s">
        <v>358</v>
      </c>
      <c r="K101" s="23" t="s">
        <v>326</v>
      </c>
      <c r="L101" s="23"/>
      <c r="M101" s="29"/>
      <c r="N101" s="37"/>
      <c r="O101" s="29"/>
      <c r="P101" s="37"/>
      <c r="Q101" s="37" t="s">
        <v>23</v>
      </c>
    </row>
    <row r="102" spans="1:200" ht="30" customHeight="1" x14ac:dyDescent="0.35">
      <c r="A102" s="21">
        <f t="shared" si="4"/>
        <v>101</v>
      </c>
      <c r="B102" s="22" t="s">
        <v>117</v>
      </c>
      <c r="C102" s="28" t="s">
        <v>359</v>
      </c>
      <c r="D102" s="28" t="s">
        <v>360</v>
      </c>
      <c r="E102" s="25">
        <v>46168</v>
      </c>
      <c r="F102" s="26" t="s">
        <v>113</v>
      </c>
      <c r="G102" s="26" t="s">
        <v>132</v>
      </c>
      <c r="H102" s="27">
        <v>135.52000000000001</v>
      </c>
      <c r="I102" s="26" t="s">
        <v>74</v>
      </c>
      <c r="J102" s="28" t="s">
        <v>361</v>
      </c>
      <c r="K102" s="23" t="s">
        <v>326</v>
      </c>
      <c r="L102" s="23"/>
      <c r="M102" s="29"/>
      <c r="N102" s="37"/>
      <c r="O102" s="29"/>
      <c r="P102" s="37"/>
      <c r="Q102" s="37" t="s">
        <v>23</v>
      </c>
    </row>
    <row r="103" spans="1:200" ht="30" customHeight="1" x14ac:dyDescent="0.35">
      <c r="A103" s="21">
        <f t="shared" si="4"/>
        <v>102</v>
      </c>
      <c r="B103" s="22" t="s">
        <v>117</v>
      </c>
      <c r="C103" s="28" t="s">
        <v>362</v>
      </c>
      <c r="D103" s="28" t="s">
        <v>363</v>
      </c>
      <c r="E103" s="25">
        <v>46202</v>
      </c>
      <c r="F103" s="26" t="s">
        <v>113</v>
      </c>
      <c r="G103" s="26" t="s">
        <v>132</v>
      </c>
      <c r="H103" s="27">
        <v>27</v>
      </c>
      <c r="I103" s="26" t="s">
        <v>74</v>
      </c>
      <c r="J103" s="33" t="s">
        <v>364</v>
      </c>
      <c r="K103" s="23" t="s">
        <v>365</v>
      </c>
      <c r="L103" s="23"/>
      <c r="M103" s="29"/>
      <c r="N103" s="37"/>
      <c r="O103" s="29"/>
      <c r="P103" s="37"/>
      <c r="Q103" s="37" t="s">
        <v>23</v>
      </c>
    </row>
    <row r="104" spans="1:200" ht="30" customHeight="1" x14ac:dyDescent="0.35">
      <c r="A104" s="21">
        <f t="shared" si="4"/>
        <v>103</v>
      </c>
      <c r="B104" s="22" t="s">
        <v>135</v>
      </c>
      <c r="C104" s="28" t="s">
        <v>366</v>
      </c>
      <c r="D104" s="28" t="s">
        <v>367</v>
      </c>
      <c r="E104" s="25">
        <v>46202</v>
      </c>
      <c r="F104" s="26" t="s">
        <v>113</v>
      </c>
      <c r="G104" s="26" t="s">
        <v>114</v>
      </c>
      <c r="H104" s="34">
        <v>2120</v>
      </c>
      <c r="I104" s="26" t="s">
        <v>74</v>
      </c>
      <c r="J104" s="33" t="s">
        <v>368</v>
      </c>
      <c r="K104" s="23" t="s">
        <v>335</v>
      </c>
      <c r="L104" s="23" t="s">
        <v>335</v>
      </c>
      <c r="M104" s="29">
        <v>1</v>
      </c>
      <c r="N104" s="30" t="s">
        <v>24</v>
      </c>
      <c r="O104" s="29">
        <v>0.5</v>
      </c>
      <c r="P104" s="30" t="s">
        <v>24</v>
      </c>
      <c r="Q104" s="37" t="s">
        <v>23</v>
      </c>
    </row>
    <row r="105" spans="1:200" ht="25.05" customHeight="1" x14ac:dyDescent="0.35">
      <c r="A105" s="21">
        <f t="shared" si="4"/>
        <v>104</v>
      </c>
      <c r="B105" s="22" t="s">
        <v>117</v>
      </c>
      <c r="C105" s="28" t="s">
        <v>369</v>
      </c>
      <c r="D105" s="28" t="s">
        <v>370</v>
      </c>
      <c r="E105" s="25">
        <v>46203</v>
      </c>
      <c r="F105" s="26" t="s">
        <v>113</v>
      </c>
      <c r="G105" s="26" t="s">
        <v>120</v>
      </c>
      <c r="H105" s="34">
        <v>594</v>
      </c>
      <c r="I105" s="26" t="s">
        <v>74</v>
      </c>
      <c r="J105" s="28" t="s">
        <v>371</v>
      </c>
      <c r="K105" s="23" t="s">
        <v>372</v>
      </c>
      <c r="L105" s="23"/>
      <c r="M105" s="29"/>
      <c r="N105" s="37"/>
      <c r="O105" s="29"/>
      <c r="P105" s="37"/>
      <c r="Q105" s="37" t="s">
        <v>23</v>
      </c>
    </row>
    <row r="106" spans="1:200" ht="30" customHeight="1" x14ac:dyDescent="0.35">
      <c r="A106" s="21">
        <f t="shared" ref="A106:A137" si="5">A105+1</f>
        <v>105</v>
      </c>
      <c r="B106" s="22" t="s">
        <v>117</v>
      </c>
      <c r="C106" s="28" t="s">
        <v>373</v>
      </c>
      <c r="D106" s="28" t="s">
        <v>374</v>
      </c>
      <c r="E106" s="25">
        <v>46204</v>
      </c>
      <c r="F106" s="26" t="s">
        <v>113</v>
      </c>
      <c r="G106" s="26" t="s">
        <v>132</v>
      </c>
      <c r="H106" s="34">
        <v>155</v>
      </c>
      <c r="I106" s="26" t="s">
        <v>74</v>
      </c>
      <c r="J106" s="28" t="s">
        <v>375</v>
      </c>
      <c r="K106" s="23" t="s">
        <v>326</v>
      </c>
      <c r="L106" s="23"/>
      <c r="M106" s="29"/>
      <c r="N106" s="37"/>
      <c r="O106" s="29"/>
      <c r="P106" s="37"/>
      <c r="Q106" s="37" t="s">
        <v>23</v>
      </c>
    </row>
    <row r="107" spans="1:200" ht="30" customHeight="1" x14ac:dyDescent="0.35">
      <c r="A107" s="21">
        <f t="shared" si="5"/>
        <v>106</v>
      </c>
      <c r="B107" s="22" t="s">
        <v>117</v>
      </c>
      <c r="C107" s="28" t="s">
        <v>376</v>
      </c>
      <c r="D107" s="28" t="s">
        <v>377</v>
      </c>
      <c r="E107" s="25">
        <v>46204</v>
      </c>
      <c r="F107" s="26" t="s">
        <v>113</v>
      </c>
      <c r="G107" s="26" t="s">
        <v>132</v>
      </c>
      <c r="H107" s="34">
        <v>150</v>
      </c>
      <c r="I107" s="26" t="s">
        <v>74</v>
      </c>
      <c r="J107" s="28" t="s">
        <v>378</v>
      </c>
      <c r="K107" s="23" t="s">
        <v>326</v>
      </c>
      <c r="L107" s="23"/>
      <c r="M107" s="29"/>
      <c r="N107" s="37"/>
      <c r="O107" s="29"/>
      <c r="P107" s="37"/>
      <c r="Q107" s="37" t="s">
        <v>23</v>
      </c>
    </row>
    <row r="108" spans="1:200" ht="30" customHeight="1" x14ac:dyDescent="0.35">
      <c r="A108" s="21">
        <f t="shared" si="5"/>
        <v>107</v>
      </c>
      <c r="B108" s="22" t="s">
        <v>117</v>
      </c>
      <c r="C108" s="28" t="s">
        <v>379</v>
      </c>
      <c r="D108" s="28" t="s">
        <v>380</v>
      </c>
      <c r="E108" s="25">
        <v>46206</v>
      </c>
      <c r="F108" s="26" t="s">
        <v>113</v>
      </c>
      <c r="G108" s="26" t="s">
        <v>132</v>
      </c>
      <c r="H108" s="34">
        <v>154.30000000000001</v>
      </c>
      <c r="I108" s="26" t="s">
        <v>74</v>
      </c>
      <c r="J108" s="28" t="s">
        <v>381</v>
      </c>
      <c r="K108" s="23" t="s">
        <v>326</v>
      </c>
      <c r="L108" s="23"/>
      <c r="M108" s="29"/>
      <c r="N108" s="37"/>
      <c r="O108" s="29"/>
      <c r="P108" s="37"/>
      <c r="Q108" s="37" t="s">
        <v>23</v>
      </c>
    </row>
    <row r="109" spans="1:200" ht="30" customHeight="1" x14ac:dyDescent="0.35">
      <c r="A109" s="21">
        <f t="shared" si="5"/>
        <v>108</v>
      </c>
      <c r="B109" s="22" t="s">
        <v>117</v>
      </c>
      <c r="C109" s="28" t="s">
        <v>382</v>
      </c>
      <c r="D109" s="28" t="s">
        <v>383</v>
      </c>
      <c r="E109" s="25">
        <v>46206</v>
      </c>
      <c r="F109" s="26" t="s">
        <v>113</v>
      </c>
      <c r="G109" s="26" t="s">
        <v>132</v>
      </c>
      <c r="H109" s="34">
        <v>544</v>
      </c>
      <c r="I109" s="26" t="s">
        <v>74</v>
      </c>
      <c r="J109" s="28" t="s">
        <v>384</v>
      </c>
      <c r="K109" s="23" t="s">
        <v>326</v>
      </c>
      <c r="L109" s="23"/>
      <c r="M109" s="29"/>
      <c r="N109" s="37"/>
      <c r="O109" s="29"/>
      <c r="P109" s="37"/>
      <c r="Q109" s="37" t="s">
        <v>23</v>
      </c>
    </row>
    <row r="110" spans="1:200" ht="30" customHeight="1" x14ac:dyDescent="0.35">
      <c r="A110" s="21">
        <f t="shared" si="5"/>
        <v>109</v>
      </c>
      <c r="B110" s="22" t="s">
        <v>117</v>
      </c>
      <c r="C110" s="28" t="s">
        <v>385</v>
      </c>
      <c r="D110" s="28" t="s">
        <v>386</v>
      </c>
      <c r="E110" s="25">
        <v>46206</v>
      </c>
      <c r="F110" s="26" t="s">
        <v>113</v>
      </c>
      <c r="G110" s="26" t="s">
        <v>132</v>
      </c>
      <c r="H110" s="34">
        <v>120.71</v>
      </c>
      <c r="I110" s="26" t="s">
        <v>74</v>
      </c>
      <c r="J110" s="28" t="s">
        <v>387</v>
      </c>
      <c r="K110" s="23" t="s">
        <v>326</v>
      </c>
      <c r="L110" s="23"/>
      <c r="M110" s="29"/>
      <c r="N110" s="37"/>
      <c r="O110" s="29"/>
      <c r="P110" s="37"/>
      <c r="Q110" s="37" t="s">
        <v>23</v>
      </c>
    </row>
    <row r="111" spans="1:200" ht="30" customHeight="1" x14ac:dyDescent="0.35">
      <c r="A111" s="21">
        <f t="shared" si="5"/>
        <v>110</v>
      </c>
      <c r="B111" s="22" t="s">
        <v>117</v>
      </c>
      <c r="C111" s="28" t="s">
        <v>388</v>
      </c>
      <c r="D111" s="28" t="s">
        <v>389</v>
      </c>
      <c r="E111" s="25">
        <v>46206</v>
      </c>
      <c r="F111" s="26" t="s">
        <v>113</v>
      </c>
      <c r="G111" s="26" t="s">
        <v>132</v>
      </c>
      <c r="H111" s="34">
        <v>141.80000000000001</v>
      </c>
      <c r="I111" s="26" t="s">
        <v>74</v>
      </c>
      <c r="J111" s="28" t="s">
        <v>390</v>
      </c>
      <c r="K111" s="23" t="s">
        <v>326</v>
      </c>
      <c r="L111" s="23"/>
      <c r="M111" s="29"/>
      <c r="N111" s="37"/>
      <c r="O111" s="29"/>
      <c r="P111" s="37"/>
      <c r="Q111" s="37" t="s">
        <v>23</v>
      </c>
    </row>
    <row r="112" spans="1:200" ht="30" customHeight="1" x14ac:dyDescent="0.35">
      <c r="A112" s="21">
        <f t="shared" si="5"/>
        <v>111</v>
      </c>
      <c r="B112" s="22" t="s">
        <v>117</v>
      </c>
      <c r="C112" s="28" t="s">
        <v>391</v>
      </c>
      <c r="D112" s="28" t="s">
        <v>392</v>
      </c>
      <c r="E112" s="25">
        <v>46216</v>
      </c>
      <c r="F112" s="26" t="s">
        <v>113</v>
      </c>
      <c r="G112" s="26" t="s">
        <v>132</v>
      </c>
      <c r="H112" s="27">
        <v>70</v>
      </c>
      <c r="I112" s="26" t="s">
        <v>28</v>
      </c>
      <c r="J112" s="28" t="s">
        <v>129</v>
      </c>
      <c r="K112" s="23" t="s">
        <v>249</v>
      </c>
      <c r="L112" s="23"/>
      <c r="M112" s="29"/>
      <c r="N112" s="37"/>
      <c r="O112" s="29"/>
      <c r="P112" s="37"/>
      <c r="Q112" s="37" t="s">
        <v>23</v>
      </c>
    </row>
    <row r="113" spans="1:229" ht="30" customHeight="1" x14ac:dyDescent="0.35">
      <c r="A113" s="21">
        <f t="shared" si="5"/>
        <v>112</v>
      </c>
      <c r="B113" s="31" t="s">
        <v>117</v>
      </c>
      <c r="C113" s="28" t="s">
        <v>393</v>
      </c>
      <c r="D113" s="28" t="s">
        <v>394</v>
      </c>
      <c r="E113" s="25">
        <v>45666</v>
      </c>
      <c r="F113" s="25" t="s">
        <v>395</v>
      </c>
      <c r="G113" s="26" t="s">
        <v>132</v>
      </c>
      <c r="H113" s="27">
        <v>58.1</v>
      </c>
      <c r="I113" s="26" t="s">
        <v>20</v>
      </c>
      <c r="J113" s="33" t="s">
        <v>396</v>
      </c>
      <c r="K113" s="23" t="s">
        <v>155</v>
      </c>
      <c r="L113" s="23"/>
      <c r="M113" s="29">
        <v>1</v>
      </c>
      <c r="N113" s="37"/>
      <c r="O113" s="29">
        <v>1</v>
      </c>
      <c r="P113" s="30" t="s">
        <v>24</v>
      </c>
      <c r="Q113" s="37" t="s">
        <v>23</v>
      </c>
    </row>
    <row r="114" spans="1:229" ht="30" customHeight="1" x14ac:dyDescent="0.35">
      <c r="A114" s="21">
        <f t="shared" si="5"/>
        <v>113</v>
      </c>
      <c r="B114" s="22" t="s">
        <v>15</v>
      </c>
      <c r="C114" s="28" t="s">
        <v>397</v>
      </c>
      <c r="D114" s="28" t="s">
        <v>398</v>
      </c>
      <c r="E114" s="25">
        <v>45673</v>
      </c>
      <c r="F114" s="25" t="s">
        <v>395</v>
      </c>
      <c r="G114" s="26" t="s">
        <v>114</v>
      </c>
      <c r="H114" s="27">
        <v>435</v>
      </c>
      <c r="I114" s="26" t="s">
        <v>121</v>
      </c>
      <c r="J114" s="33" t="s">
        <v>399</v>
      </c>
      <c r="K114" s="28" t="s">
        <v>123</v>
      </c>
      <c r="L114" s="28" t="s">
        <v>123</v>
      </c>
      <c r="M114" s="29">
        <v>1</v>
      </c>
      <c r="N114" s="30" t="s">
        <v>24</v>
      </c>
      <c r="O114" s="51" t="s">
        <v>400</v>
      </c>
      <c r="P114" s="30" t="s">
        <v>24</v>
      </c>
      <c r="Q114" s="30" t="s">
        <v>24</v>
      </c>
    </row>
    <row r="115" spans="1:229" ht="30" customHeight="1" x14ac:dyDescent="0.35">
      <c r="A115" s="21">
        <f t="shared" si="5"/>
        <v>114</v>
      </c>
      <c r="B115" s="22" t="s">
        <v>144</v>
      </c>
      <c r="C115" s="28" t="s">
        <v>401</v>
      </c>
      <c r="D115" s="28" t="s">
        <v>402</v>
      </c>
      <c r="E115" s="25">
        <v>45673</v>
      </c>
      <c r="F115" s="25" t="s">
        <v>395</v>
      </c>
      <c r="G115" s="26" t="s">
        <v>120</v>
      </c>
      <c r="H115" s="27">
        <v>932</v>
      </c>
      <c r="I115" s="26" t="s">
        <v>20</v>
      </c>
      <c r="J115" s="52" t="s">
        <v>403</v>
      </c>
      <c r="K115" s="23" t="s">
        <v>155</v>
      </c>
      <c r="L115" s="23"/>
      <c r="M115" s="29">
        <v>1</v>
      </c>
      <c r="N115" s="37"/>
      <c r="O115" s="29">
        <v>1</v>
      </c>
      <c r="P115" s="30" t="s">
        <v>24</v>
      </c>
      <c r="Q115" s="37" t="s">
        <v>23</v>
      </c>
    </row>
    <row r="116" spans="1:229" ht="30" customHeight="1" x14ac:dyDescent="0.35">
      <c r="A116" s="21">
        <f t="shared" si="5"/>
        <v>115</v>
      </c>
      <c r="B116" s="22" t="s">
        <v>144</v>
      </c>
      <c r="C116" s="28" t="s">
        <v>404</v>
      </c>
      <c r="D116" s="28" t="s">
        <v>405</v>
      </c>
      <c r="E116" s="25">
        <v>45673</v>
      </c>
      <c r="F116" s="25" t="s">
        <v>395</v>
      </c>
      <c r="G116" s="26" t="s">
        <v>147</v>
      </c>
      <c r="H116" s="27">
        <v>4572</v>
      </c>
      <c r="I116" s="26" t="s">
        <v>121</v>
      </c>
      <c r="J116" s="28" t="s">
        <v>406</v>
      </c>
      <c r="K116" s="28" t="s">
        <v>123</v>
      </c>
      <c r="L116" s="28"/>
      <c r="M116" s="29">
        <v>1</v>
      </c>
      <c r="N116" s="37"/>
      <c r="O116" s="51" t="s">
        <v>400</v>
      </c>
      <c r="P116" s="30" t="s">
        <v>24</v>
      </c>
      <c r="Q116" s="30" t="s">
        <v>24</v>
      </c>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row>
    <row r="117" spans="1:229" ht="30" customHeight="1" x14ac:dyDescent="0.35">
      <c r="A117" s="21">
        <f t="shared" si="5"/>
        <v>116</v>
      </c>
      <c r="B117" s="22" t="s">
        <v>144</v>
      </c>
      <c r="C117" s="28" t="s">
        <v>407</v>
      </c>
      <c r="D117" s="28" t="s">
        <v>408</v>
      </c>
      <c r="E117" s="25">
        <v>45673</v>
      </c>
      <c r="F117" s="25" t="s">
        <v>395</v>
      </c>
      <c r="G117" s="26" t="s">
        <v>147</v>
      </c>
      <c r="H117" s="27">
        <v>3237</v>
      </c>
      <c r="I117" s="26" t="s">
        <v>121</v>
      </c>
      <c r="J117" s="28" t="s">
        <v>409</v>
      </c>
      <c r="K117" s="28" t="s">
        <v>123</v>
      </c>
      <c r="L117" s="28"/>
      <c r="M117" s="29">
        <v>1</v>
      </c>
      <c r="N117" s="37"/>
      <c r="O117" s="51" t="s">
        <v>400</v>
      </c>
      <c r="P117" s="30" t="s">
        <v>24</v>
      </c>
      <c r="Q117" s="30" t="s">
        <v>24</v>
      </c>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row>
    <row r="118" spans="1:229" ht="30" customHeight="1" x14ac:dyDescent="0.35">
      <c r="A118" s="21">
        <f t="shared" si="5"/>
        <v>117</v>
      </c>
      <c r="B118" s="22" t="s">
        <v>144</v>
      </c>
      <c r="C118" s="28" t="s">
        <v>410</v>
      </c>
      <c r="D118" s="28" t="s">
        <v>411</v>
      </c>
      <c r="E118" s="25">
        <v>45673</v>
      </c>
      <c r="F118" s="25" t="s">
        <v>395</v>
      </c>
      <c r="G118" s="26" t="s">
        <v>147</v>
      </c>
      <c r="H118" s="27">
        <v>624</v>
      </c>
      <c r="I118" s="26" t="s">
        <v>121</v>
      </c>
      <c r="J118" s="28" t="s">
        <v>412</v>
      </c>
      <c r="K118" s="28" t="s">
        <v>123</v>
      </c>
      <c r="L118" s="28"/>
      <c r="M118" s="29">
        <v>1</v>
      </c>
      <c r="N118" s="37"/>
      <c r="O118" s="51" t="s">
        <v>400</v>
      </c>
      <c r="P118" s="30" t="s">
        <v>24</v>
      </c>
      <c r="Q118" s="30" t="s">
        <v>24</v>
      </c>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row>
    <row r="119" spans="1:229" ht="30" customHeight="1" x14ac:dyDescent="0.35">
      <c r="A119" s="21">
        <f t="shared" si="5"/>
        <v>118</v>
      </c>
      <c r="B119" s="22" t="s">
        <v>15</v>
      </c>
      <c r="C119" s="28" t="s">
        <v>413</v>
      </c>
      <c r="D119" s="28" t="s">
        <v>414</v>
      </c>
      <c r="E119" s="25">
        <v>45684</v>
      </c>
      <c r="F119" s="25" t="s">
        <v>395</v>
      </c>
      <c r="G119" s="26" t="s">
        <v>19</v>
      </c>
      <c r="H119" s="27">
        <v>10746</v>
      </c>
      <c r="I119" s="26" t="s">
        <v>121</v>
      </c>
      <c r="J119" s="28" t="s">
        <v>415</v>
      </c>
      <c r="K119" s="28" t="s">
        <v>123</v>
      </c>
      <c r="L119" s="28"/>
      <c r="M119" s="29">
        <v>1</v>
      </c>
      <c r="N119" s="37"/>
      <c r="O119" s="29">
        <v>1</v>
      </c>
      <c r="P119" s="30" t="s">
        <v>24</v>
      </c>
      <c r="Q119" s="30" t="s">
        <v>24</v>
      </c>
    </row>
    <row r="120" spans="1:229" ht="30" customHeight="1" x14ac:dyDescent="0.35">
      <c r="A120" s="21">
        <f t="shared" si="5"/>
        <v>119</v>
      </c>
      <c r="B120" s="22" t="s">
        <v>144</v>
      </c>
      <c r="C120" s="28" t="s">
        <v>416</v>
      </c>
      <c r="D120" s="28" t="s">
        <v>417</v>
      </c>
      <c r="E120" s="25">
        <v>45698</v>
      </c>
      <c r="F120" s="26" t="s">
        <v>395</v>
      </c>
      <c r="G120" s="26" t="s">
        <v>147</v>
      </c>
      <c r="H120" s="27">
        <v>369</v>
      </c>
      <c r="I120" s="26" t="s">
        <v>121</v>
      </c>
      <c r="J120" s="33" t="s">
        <v>418</v>
      </c>
      <c r="K120" s="28" t="s">
        <v>123</v>
      </c>
      <c r="L120" s="28"/>
      <c r="M120" s="29">
        <v>1</v>
      </c>
      <c r="N120" s="37"/>
      <c r="O120" s="29">
        <v>1</v>
      </c>
      <c r="P120" s="30" t="s">
        <v>24</v>
      </c>
      <c r="Q120" s="30" t="s">
        <v>24</v>
      </c>
    </row>
    <row r="121" spans="1:229" ht="30" customHeight="1" x14ac:dyDescent="0.35">
      <c r="A121" s="21">
        <f t="shared" si="5"/>
        <v>120</v>
      </c>
      <c r="B121" s="22" t="s">
        <v>15</v>
      </c>
      <c r="C121" s="28" t="s">
        <v>419</v>
      </c>
      <c r="D121" s="28" t="s">
        <v>420</v>
      </c>
      <c r="E121" s="25">
        <v>45728</v>
      </c>
      <c r="F121" s="26" t="s">
        <v>395</v>
      </c>
      <c r="G121" s="26" t="s">
        <v>132</v>
      </c>
      <c r="H121" s="27">
        <v>38</v>
      </c>
      <c r="I121" s="26" t="s">
        <v>121</v>
      </c>
      <c r="J121" s="33" t="s">
        <v>421</v>
      </c>
      <c r="K121" s="23" t="s">
        <v>155</v>
      </c>
      <c r="L121" s="28" t="s">
        <v>123</v>
      </c>
      <c r="M121" s="29">
        <v>1</v>
      </c>
      <c r="N121" s="37"/>
      <c r="O121" s="29">
        <v>1</v>
      </c>
      <c r="P121" s="30" t="s">
        <v>24</v>
      </c>
      <c r="Q121" s="30" t="s">
        <v>24</v>
      </c>
    </row>
    <row r="122" spans="1:229" ht="30" customHeight="1" x14ac:dyDescent="0.35">
      <c r="A122" s="21">
        <f t="shared" si="5"/>
        <v>121</v>
      </c>
      <c r="B122" s="22" t="s">
        <v>15</v>
      </c>
      <c r="C122" s="28" t="s">
        <v>422</v>
      </c>
      <c r="D122" s="28" t="s">
        <v>423</v>
      </c>
      <c r="E122" s="25">
        <v>45743</v>
      </c>
      <c r="F122" s="25" t="s">
        <v>395</v>
      </c>
      <c r="G122" s="26" t="s">
        <v>27</v>
      </c>
      <c r="H122" s="27">
        <v>1640</v>
      </c>
      <c r="I122" s="26" t="s">
        <v>121</v>
      </c>
      <c r="J122" s="33" t="s">
        <v>424</v>
      </c>
      <c r="K122" s="28" t="s">
        <v>123</v>
      </c>
      <c r="L122" s="28" t="s">
        <v>123</v>
      </c>
      <c r="M122" s="29">
        <v>1</v>
      </c>
      <c r="N122" s="30" t="s">
        <v>24</v>
      </c>
      <c r="O122" s="51" t="s">
        <v>400</v>
      </c>
      <c r="P122" s="30" t="s">
        <v>24</v>
      </c>
      <c r="Q122" s="30" t="s">
        <v>24</v>
      </c>
    </row>
    <row r="123" spans="1:229" ht="30" customHeight="1" x14ac:dyDescent="0.35">
      <c r="A123" s="21">
        <f t="shared" si="5"/>
        <v>122</v>
      </c>
      <c r="B123" s="22" t="s">
        <v>15</v>
      </c>
      <c r="C123" s="28" t="s">
        <v>425</v>
      </c>
      <c r="D123" s="28" t="s">
        <v>426</v>
      </c>
      <c r="E123" s="25">
        <v>45743</v>
      </c>
      <c r="F123" s="25" t="s">
        <v>395</v>
      </c>
      <c r="G123" s="26" t="s">
        <v>114</v>
      </c>
      <c r="H123" s="27">
        <v>30</v>
      </c>
      <c r="I123" s="26" t="s">
        <v>20</v>
      </c>
      <c r="J123" s="33" t="s">
        <v>427</v>
      </c>
      <c r="K123" s="23" t="s">
        <v>428</v>
      </c>
      <c r="L123" s="23" t="s">
        <v>429</v>
      </c>
      <c r="M123" s="29">
        <v>1</v>
      </c>
      <c r="N123" s="30" t="s">
        <v>24</v>
      </c>
      <c r="O123" s="29">
        <v>1</v>
      </c>
      <c r="P123" s="30" t="s">
        <v>24</v>
      </c>
      <c r="Q123" s="37" t="s">
        <v>23</v>
      </c>
    </row>
    <row r="124" spans="1:229" ht="30" customHeight="1" x14ac:dyDescent="0.35">
      <c r="A124" s="21">
        <f t="shared" si="5"/>
        <v>123</v>
      </c>
      <c r="B124" s="22" t="s">
        <v>15</v>
      </c>
      <c r="C124" s="28" t="s">
        <v>430</v>
      </c>
      <c r="D124" s="28" t="s">
        <v>431</v>
      </c>
      <c r="E124" s="25">
        <v>45747</v>
      </c>
      <c r="F124" s="25" t="s">
        <v>395</v>
      </c>
      <c r="G124" s="26" t="s">
        <v>432</v>
      </c>
      <c r="H124" s="27">
        <v>3432</v>
      </c>
      <c r="I124" s="26" t="s">
        <v>20</v>
      </c>
      <c r="J124" s="28" t="s">
        <v>433</v>
      </c>
      <c r="K124" s="23" t="s">
        <v>155</v>
      </c>
      <c r="L124" s="23" t="s">
        <v>434</v>
      </c>
      <c r="M124" s="29">
        <v>1</v>
      </c>
      <c r="N124" s="30" t="s">
        <v>24</v>
      </c>
      <c r="O124" s="29">
        <v>1</v>
      </c>
      <c r="P124" s="30" t="s">
        <v>24</v>
      </c>
      <c r="Q124" s="37" t="s">
        <v>23</v>
      </c>
      <c r="HH124" s="2"/>
      <c r="HI124" s="2"/>
      <c r="HJ124" s="2"/>
      <c r="HK124" s="2"/>
      <c r="HL124" s="2"/>
      <c r="HM124" s="2"/>
      <c r="HN124" s="2"/>
      <c r="HO124" s="2"/>
      <c r="HP124" s="2"/>
      <c r="HQ124" s="2"/>
      <c r="HR124" s="2"/>
      <c r="HS124" s="2"/>
      <c r="HT124" s="2"/>
      <c r="HU124" s="2"/>
    </row>
    <row r="125" spans="1:229" ht="30" customHeight="1" x14ac:dyDescent="0.35">
      <c r="A125" s="21">
        <f t="shared" si="5"/>
        <v>124</v>
      </c>
      <c r="B125" s="22" t="s">
        <v>15</v>
      </c>
      <c r="C125" s="28" t="s">
        <v>435</v>
      </c>
      <c r="D125" s="28" t="s">
        <v>436</v>
      </c>
      <c r="E125" s="25">
        <v>46065</v>
      </c>
      <c r="F125" s="26" t="s">
        <v>395</v>
      </c>
      <c r="G125" s="26" t="s">
        <v>147</v>
      </c>
      <c r="H125" s="27">
        <v>17275</v>
      </c>
      <c r="I125" s="26" t="s">
        <v>28</v>
      </c>
      <c r="J125" s="28" t="s">
        <v>437</v>
      </c>
      <c r="K125" s="23" t="s">
        <v>438</v>
      </c>
      <c r="L125" s="23"/>
      <c r="M125" s="29"/>
      <c r="N125" s="37"/>
      <c r="O125" s="29"/>
      <c r="P125" s="37"/>
      <c r="Q125" s="37" t="s">
        <v>23</v>
      </c>
    </row>
    <row r="126" spans="1:229" ht="30" customHeight="1" x14ac:dyDescent="0.35">
      <c r="A126" s="21">
        <f t="shared" si="5"/>
        <v>125</v>
      </c>
      <c r="B126" s="22" t="s">
        <v>144</v>
      </c>
      <c r="C126" s="28" t="s">
        <v>439</v>
      </c>
      <c r="D126" s="28" t="s">
        <v>440</v>
      </c>
      <c r="E126" s="25">
        <v>45791</v>
      </c>
      <c r="F126" s="25" t="s">
        <v>395</v>
      </c>
      <c r="G126" s="26" t="s">
        <v>432</v>
      </c>
      <c r="H126" s="34">
        <v>65</v>
      </c>
      <c r="I126" s="26" t="s">
        <v>121</v>
      </c>
      <c r="J126" s="33" t="s">
        <v>441</v>
      </c>
      <c r="K126" s="28" t="s">
        <v>123</v>
      </c>
      <c r="L126" s="28" t="s">
        <v>123</v>
      </c>
      <c r="M126" s="29">
        <v>1</v>
      </c>
      <c r="N126" s="30" t="s">
        <v>24</v>
      </c>
      <c r="O126" s="51" t="s">
        <v>400</v>
      </c>
      <c r="P126" s="30" t="s">
        <v>24</v>
      </c>
      <c r="Q126" s="30" t="s">
        <v>24</v>
      </c>
      <c r="HH126" s="2"/>
      <c r="HI126" s="2"/>
      <c r="HJ126" s="2"/>
      <c r="HK126" s="2"/>
      <c r="HL126" s="2"/>
      <c r="HM126" s="2"/>
      <c r="HN126" s="2"/>
      <c r="HO126" s="2"/>
      <c r="HP126" s="2"/>
      <c r="HQ126" s="2"/>
      <c r="HR126" s="2"/>
      <c r="HS126" s="2"/>
      <c r="HT126" s="2"/>
      <c r="HU126" s="2"/>
    </row>
    <row r="127" spans="1:229" ht="30" customHeight="1" x14ac:dyDescent="0.35">
      <c r="A127" s="21">
        <f t="shared" si="5"/>
        <v>126</v>
      </c>
      <c r="B127" s="22" t="s">
        <v>15</v>
      </c>
      <c r="C127" s="28" t="s">
        <v>442</v>
      </c>
      <c r="D127" s="28" t="s">
        <v>443</v>
      </c>
      <c r="E127" s="25">
        <v>45793</v>
      </c>
      <c r="F127" s="25" t="s">
        <v>395</v>
      </c>
      <c r="G127" s="26" t="s">
        <v>27</v>
      </c>
      <c r="H127" s="34">
        <v>535</v>
      </c>
      <c r="I127" s="26" t="s">
        <v>28</v>
      </c>
      <c r="J127" s="33" t="s">
        <v>444</v>
      </c>
      <c r="K127" s="23" t="s">
        <v>445</v>
      </c>
      <c r="L127" s="23" t="s">
        <v>445</v>
      </c>
      <c r="M127" s="29">
        <v>1</v>
      </c>
      <c r="N127" s="30" t="s">
        <v>23</v>
      </c>
      <c r="O127" s="29">
        <v>1</v>
      </c>
      <c r="P127" s="30" t="s">
        <v>23</v>
      </c>
      <c r="Q127" s="37" t="s">
        <v>23</v>
      </c>
    </row>
    <row r="128" spans="1:229" ht="30" customHeight="1" x14ac:dyDescent="0.35">
      <c r="A128" s="21">
        <f t="shared" si="5"/>
        <v>127</v>
      </c>
      <c r="B128" s="22" t="s">
        <v>144</v>
      </c>
      <c r="C128" s="28" t="s">
        <v>446</v>
      </c>
      <c r="D128" s="28" t="s">
        <v>447</v>
      </c>
      <c r="E128" s="25">
        <v>45795</v>
      </c>
      <c r="F128" s="26" t="s">
        <v>395</v>
      </c>
      <c r="G128" s="26" t="s">
        <v>147</v>
      </c>
      <c r="H128" s="34">
        <v>4850</v>
      </c>
      <c r="I128" s="26" t="s">
        <v>121</v>
      </c>
      <c r="J128" s="33" t="s">
        <v>448</v>
      </c>
      <c r="K128" s="28" t="s">
        <v>123</v>
      </c>
      <c r="L128" s="28"/>
      <c r="M128" s="29">
        <v>1</v>
      </c>
      <c r="N128" s="37"/>
      <c r="O128" s="51" t="s">
        <v>400</v>
      </c>
      <c r="P128" s="30" t="s">
        <v>24</v>
      </c>
      <c r="Q128" s="30" t="s">
        <v>24</v>
      </c>
    </row>
    <row r="129" spans="1:229" ht="30" customHeight="1" x14ac:dyDescent="0.35">
      <c r="A129" s="21">
        <f t="shared" si="5"/>
        <v>128</v>
      </c>
      <c r="B129" s="22" t="s">
        <v>15</v>
      </c>
      <c r="C129" s="28" t="s">
        <v>449</v>
      </c>
      <c r="D129" s="28" t="s">
        <v>450</v>
      </c>
      <c r="E129" s="25">
        <v>45797</v>
      </c>
      <c r="F129" s="25" t="s">
        <v>395</v>
      </c>
      <c r="G129" s="26" t="s">
        <v>432</v>
      </c>
      <c r="H129" s="34">
        <v>395</v>
      </c>
      <c r="I129" s="26" t="s">
        <v>74</v>
      </c>
      <c r="J129" s="28" t="s">
        <v>451</v>
      </c>
      <c r="K129" s="23" t="s">
        <v>452</v>
      </c>
      <c r="L129" s="23" t="s">
        <v>453</v>
      </c>
      <c r="M129" s="29">
        <v>1</v>
      </c>
      <c r="N129" s="30" t="s">
        <v>24</v>
      </c>
      <c r="O129" s="51" t="s">
        <v>400</v>
      </c>
      <c r="P129" s="30" t="s">
        <v>24</v>
      </c>
      <c r="Q129" s="37" t="s">
        <v>23</v>
      </c>
      <c r="HH129" s="2"/>
      <c r="HI129" s="2"/>
      <c r="HJ129" s="2"/>
      <c r="HK129" s="2"/>
      <c r="HL129" s="2"/>
      <c r="HM129" s="2"/>
      <c r="HN129" s="2"/>
      <c r="HO129" s="2"/>
      <c r="HP129" s="2"/>
      <c r="HQ129" s="2"/>
      <c r="HR129" s="2"/>
      <c r="HS129" s="2"/>
      <c r="HT129" s="2"/>
      <c r="HU129" s="2"/>
    </row>
    <row r="130" spans="1:229" ht="30" customHeight="1" x14ac:dyDescent="0.35">
      <c r="A130" s="21">
        <f t="shared" si="5"/>
        <v>129</v>
      </c>
      <c r="B130" s="22" t="s">
        <v>15</v>
      </c>
      <c r="C130" s="28" t="s">
        <v>454</v>
      </c>
      <c r="D130" s="28" t="s">
        <v>455</v>
      </c>
      <c r="E130" s="25">
        <v>45797</v>
      </c>
      <c r="F130" s="25" t="s">
        <v>395</v>
      </c>
      <c r="G130" s="26" t="s">
        <v>432</v>
      </c>
      <c r="H130" s="34">
        <v>346</v>
      </c>
      <c r="I130" s="26" t="s">
        <v>121</v>
      </c>
      <c r="J130" s="33" t="s">
        <v>456</v>
      </c>
      <c r="K130" s="28" t="s">
        <v>123</v>
      </c>
      <c r="L130" s="28" t="s">
        <v>123</v>
      </c>
      <c r="M130" s="29">
        <v>1</v>
      </c>
      <c r="N130" s="30" t="s">
        <v>24</v>
      </c>
      <c r="O130" s="51" t="s">
        <v>400</v>
      </c>
      <c r="P130" s="30" t="s">
        <v>24</v>
      </c>
      <c r="Q130" s="30" t="s">
        <v>24</v>
      </c>
    </row>
    <row r="131" spans="1:229" ht="30" customHeight="1" x14ac:dyDescent="0.35">
      <c r="A131" s="21">
        <f t="shared" si="5"/>
        <v>130</v>
      </c>
      <c r="B131" s="22" t="s">
        <v>15</v>
      </c>
      <c r="C131" s="28" t="s">
        <v>457</v>
      </c>
      <c r="D131" s="28" t="s">
        <v>458</v>
      </c>
      <c r="E131" s="25">
        <v>45797</v>
      </c>
      <c r="F131" s="25" t="s">
        <v>395</v>
      </c>
      <c r="G131" s="26" t="s">
        <v>27</v>
      </c>
      <c r="H131" s="34">
        <v>402</v>
      </c>
      <c r="I131" s="26" t="s">
        <v>121</v>
      </c>
      <c r="J131" s="33" t="s">
        <v>459</v>
      </c>
      <c r="K131" s="28" t="s">
        <v>123</v>
      </c>
      <c r="L131" s="28" t="s">
        <v>123</v>
      </c>
      <c r="M131" s="29">
        <v>1</v>
      </c>
      <c r="N131" s="30" t="s">
        <v>24</v>
      </c>
      <c r="O131" s="51" t="s">
        <v>400</v>
      </c>
      <c r="P131" s="30" t="s">
        <v>24</v>
      </c>
      <c r="Q131" s="30" t="s">
        <v>24</v>
      </c>
    </row>
    <row r="132" spans="1:229" ht="30" customHeight="1" x14ac:dyDescent="0.35">
      <c r="A132" s="21">
        <f t="shared" si="5"/>
        <v>131</v>
      </c>
      <c r="B132" s="22" t="s">
        <v>135</v>
      </c>
      <c r="C132" s="28" t="s">
        <v>460</v>
      </c>
      <c r="D132" s="28" t="s">
        <v>461</v>
      </c>
      <c r="E132" s="25">
        <v>45800</v>
      </c>
      <c r="F132" s="25" t="s">
        <v>395</v>
      </c>
      <c r="G132" s="26" t="s">
        <v>114</v>
      </c>
      <c r="H132" s="27">
        <v>1195</v>
      </c>
      <c r="I132" s="26" t="s">
        <v>28</v>
      </c>
      <c r="J132" s="28" t="s">
        <v>462</v>
      </c>
      <c r="K132" s="23" t="s">
        <v>116</v>
      </c>
      <c r="L132" s="23" t="s">
        <v>116</v>
      </c>
      <c r="M132" s="29">
        <v>1</v>
      </c>
      <c r="N132" s="30" t="s">
        <v>24</v>
      </c>
      <c r="O132" s="29">
        <v>1</v>
      </c>
      <c r="P132" s="30" t="s">
        <v>24</v>
      </c>
      <c r="Q132" s="37" t="s">
        <v>23</v>
      </c>
    </row>
    <row r="133" spans="1:229" ht="30" customHeight="1" x14ac:dyDescent="0.35">
      <c r="A133" s="21">
        <f t="shared" si="5"/>
        <v>132</v>
      </c>
      <c r="B133" s="22" t="s">
        <v>15</v>
      </c>
      <c r="C133" s="28" t="s">
        <v>463</v>
      </c>
      <c r="D133" s="28" t="s">
        <v>464</v>
      </c>
      <c r="E133" s="25">
        <v>45803</v>
      </c>
      <c r="F133" s="25" t="s">
        <v>395</v>
      </c>
      <c r="G133" s="26" t="s">
        <v>19</v>
      </c>
      <c r="H133" s="27">
        <v>315</v>
      </c>
      <c r="I133" s="26" t="s">
        <v>121</v>
      </c>
      <c r="J133" s="28" t="s">
        <v>465</v>
      </c>
      <c r="K133" s="28" t="s">
        <v>123</v>
      </c>
      <c r="L133" s="28"/>
      <c r="M133" s="29">
        <v>1</v>
      </c>
      <c r="N133" s="37"/>
      <c r="O133" s="51" t="s">
        <v>400</v>
      </c>
      <c r="P133" s="30" t="s">
        <v>24</v>
      </c>
      <c r="Q133" s="30" t="s">
        <v>24</v>
      </c>
    </row>
    <row r="134" spans="1:229" ht="30" customHeight="1" x14ac:dyDescent="0.35">
      <c r="A134" s="21">
        <f t="shared" si="5"/>
        <v>133</v>
      </c>
      <c r="B134" s="22" t="s">
        <v>15</v>
      </c>
      <c r="C134" s="28" t="s">
        <v>466</v>
      </c>
      <c r="D134" s="28" t="s">
        <v>467</v>
      </c>
      <c r="E134" s="25">
        <v>45836</v>
      </c>
      <c r="F134" s="26" t="s">
        <v>395</v>
      </c>
      <c r="G134" s="26" t="s">
        <v>432</v>
      </c>
      <c r="H134" s="27">
        <v>249</v>
      </c>
      <c r="I134" s="26" t="s">
        <v>121</v>
      </c>
      <c r="J134" s="33" t="s">
        <v>468</v>
      </c>
      <c r="K134" s="28" t="s">
        <v>123</v>
      </c>
      <c r="L134" s="28" t="s">
        <v>123</v>
      </c>
      <c r="M134" s="29">
        <v>1</v>
      </c>
      <c r="N134" s="30" t="s">
        <v>24</v>
      </c>
      <c r="O134" s="51" t="s">
        <v>400</v>
      </c>
      <c r="P134" s="30" t="s">
        <v>24</v>
      </c>
      <c r="Q134" s="30" t="s">
        <v>24</v>
      </c>
    </row>
    <row r="135" spans="1:229" ht="30" customHeight="1" x14ac:dyDescent="0.35">
      <c r="A135" s="21">
        <f t="shared" si="5"/>
        <v>134</v>
      </c>
      <c r="B135" s="22" t="s">
        <v>15</v>
      </c>
      <c r="C135" s="28" t="s">
        <v>469</v>
      </c>
      <c r="D135" s="28" t="s">
        <v>470</v>
      </c>
      <c r="E135" s="25">
        <v>45856</v>
      </c>
      <c r="F135" s="26" t="s">
        <v>395</v>
      </c>
      <c r="G135" s="26" t="s">
        <v>114</v>
      </c>
      <c r="H135" s="27">
        <v>67</v>
      </c>
      <c r="I135" s="26" t="s">
        <v>20</v>
      </c>
      <c r="J135" s="23" t="s">
        <v>471</v>
      </c>
      <c r="K135" s="23" t="s">
        <v>428</v>
      </c>
      <c r="L135" s="23" t="s">
        <v>472</v>
      </c>
      <c r="M135" s="29">
        <v>1</v>
      </c>
      <c r="N135" s="30" t="s">
        <v>24</v>
      </c>
      <c r="O135" s="29">
        <v>1</v>
      </c>
      <c r="P135" s="30" t="s">
        <v>24</v>
      </c>
      <c r="Q135" s="37" t="s">
        <v>23</v>
      </c>
    </row>
    <row r="136" spans="1:229" ht="30" customHeight="1" x14ac:dyDescent="0.35">
      <c r="A136" s="21">
        <f t="shared" si="5"/>
        <v>135</v>
      </c>
      <c r="B136" s="22" t="s">
        <v>15</v>
      </c>
      <c r="C136" s="28" t="s">
        <v>473</v>
      </c>
      <c r="D136" s="28" t="s">
        <v>474</v>
      </c>
      <c r="E136" s="25">
        <v>46077</v>
      </c>
      <c r="F136" s="26" t="s">
        <v>395</v>
      </c>
      <c r="G136" s="26" t="s">
        <v>147</v>
      </c>
      <c r="H136" s="27">
        <v>14565</v>
      </c>
      <c r="I136" s="26" t="s">
        <v>74</v>
      </c>
      <c r="J136" s="28" t="s">
        <v>475</v>
      </c>
      <c r="K136" s="23" t="s">
        <v>476</v>
      </c>
      <c r="L136" s="23"/>
      <c r="M136" s="29"/>
      <c r="N136" s="37"/>
      <c r="O136" s="29"/>
      <c r="P136" s="37"/>
      <c r="Q136" s="37" t="s">
        <v>23</v>
      </c>
    </row>
    <row r="137" spans="1:229" ht="30" customHeight="1" x14ac:dyDescent="0.35">
      <c r="A137" s="21">
        <f t="shared" si="5"/>
        <v>136</v>
      </c>
      <c r="B137" s="22" t="s">
        <v>144</v>
      </c>
      <c r="C137" s="28" t="s">
        <v>477</v>
      </c>
      <c r="D137" s="28" t="s">
        <v>478</v>
      </c>
      <c r="E137" s="25">
        <v>45859</v>
      </c>
      <c r="F137" s="26" t="s">
        <v>395</v>
      </c>
      <c r="G137" s="26" t="s">
        <v>147</v>
      </c>
      <c r="H137" s="27">
        <v>821</v>
      </c>
      <c r="I137" s="26" t="s">
        <v>20</v>
      </c>
      <c r="J137" s="33" t="s">
        <v>479</v>
      </c>
      <c r="K137" s="23" t="s">
        <v>480</v>
      </c>
      <c r="L137" s="23"/>
      <c r="M137" s="29">
        <v>1</v>
      </c>
      <c r="N137" s="37"/>
      <c r="O137" s="51" t="s">
        <v>400</v>
      </c>
      <c r="P137" s="30" t="s">
        <v>24</v>
      </c>
      <c r="Q137" s="37" t="s">
        <v>23</v>
      </c>
    </row>
    <row r="138" spans="1:229" ht="30" customHeight="1" x14ac:dyDescent="0.35">
      <c r="A138" s="21">
        <f t="shared" ref="A138:A169" si="6">A137+1</f>
        <v>137</v>
      </c>
      <c r="B138" s="22" t="s">
        <v>144</v>
      </c>
      <c r="C138" s="28" t="s">
        <v>481</v>
      </c>
      <c r="D138" s="28" t="s">
        <v>482</v>
      </c>
      <c r="E138" s="25">
        <v>45866</v>
      </c>
      <c r="F138" s="26" t="s">
        <v>395</v>
      </c>
      <c r="G138" s="26" t="s">
        <v>147</v>
      </c>
      <c r="H138" s="27">
        <v>56.8</v>
      </c>
      <c r="I138" s="26" t="s">
        <v>121</v>
      </c>
      <c r="J138" s="23" t="s">
        <v>483</v>
      </c>
      <c r="K138" s="28" t="s">
        <v>123</v>
      </c>
      <c r="L138" s="28"/>
      <c r="M138" s="29">
        <v>1</v>
      </c>
      <c r="N138" s="37"/>
      <c r="O138" s="51" t="s">
        <v>400</v>
      </c>
      <c r="P138" s="30" t="s">
        <v>24</v>
      </c>
      <c r="Q138" s="30" t="s">
        <v>24</v>
      </c>
      <c r="HH138" s="3"/>
      <c r="HI138" s="3"/>
      <c r="HJ138" s="3"/>
      <c r="HK138" s="3"/>
      <c r="HL138" s="3"/>
      <c r="HM138" s="3"/>
      <c r="HN138" s="3"/>
      <c r="HO138" s="3"/>
      <c r="HP138" s="3"/>
      <c r="HQ138" s="3"/>
      <c r="HR138" s="3"/>
      <c r="HS138" s="3"/>
      <c r="HT138" s="3"/>
      <c r="HU138" s="3"/>
    </row>
    <row r="139" spans="1:229" ht="30" customHeight="1" x14ac:dyDescent="0.35">
      <c r="A139" s="21">
        <f t="shared" si="6"/>
        <v>138</v>
      </c>
      <c r="B139" s="22" t="s">
        <v>144</v>
      </c>
      <c r="C139" s="28" t="s">
        <v>484</v>
      </c>
      <c r="D139" s="28" t="s">
        <v>485</v>
      </c>
      <c r="E139" s="25">
        <v>45866</v>
      </c>
      <c r="F139" s="26" t="s">
        <v>395</v>
      </c>
      <c r="G139" s="53" t="s">
        <v>147</v>
      </c>
      <c r="H139" s="27">
        <v>634</v>
      </c>
      <c r="I139" s="26" t="s">
        <v>121</v>
      </c>
      <c r="J139" s="28" t="s">
        <v>486</v>
      </c>
      <c r="K139" s="28" t="s">
        <v>123</v>
      </c>
      <c r="L139" s="28"/>
      <c r="M139" s="29">
        <v>1</v>
      </c>
      <c r="N139" s="37"/>
      <c r="O139" s="51" t="s">
        <v>400</v>
      </c>
      <c r="P139" s="30" t="s">
        <v>24</v>
      </c>
      <c r="Q139" s="30" t="s">
        <v>24</v>
      </c>
    </row>
    <row r="140" spans="1:229" ht="30" customHeight="1" x14ac:dyDescent="0.35">
      <c r="A140" s="21">
        <f t="shared" si="6"/>
        <v>139</v>
      </c>
      <c r="B140" s="22" t="s">
        <v>15</v>
      </c>
      <c r="C140" s="28" t="s">
        <v>487</v>
      </c>
      <c r="D140" s="28" t="s">
        <v>488</v>
      </c>
      <c r="E140" s="25">
        <v>45867</v>
      </c>
      <c r="F140" s="26" t="s">
        <v>395</v>
      </c>
      <c r="G140" s="26" t="s">
        <v>27</v>
      </c>
      <c r="H140" s="27">
        <v>555</v>
      </c>
      <c r="I140" s="26" t="s">
        <v>28</v>
      </c>
      <c r="J140" s="33" t="s">
        <v>489</v>
      </c>
      <c r="K140" s="23" t="s">
        <v>490</v>
      </c>
      <c r="L140" s="23" t="s">
        <v>490</v>
      </c>
      <c r="M140" s="29">
        <v>1</v>
      </c>
      <c r="N140" s="30" t="s">
        <v>23</v>
      </c>
      <c r="O140" s="29">
        <v>1</v>
      </c>
      <c r="P140" s="30" t="s">
        <v>23</v>
      </c>
      <c r="Q140" s="37" t="s">
        <v>23</v>
      </c>
      <c r="HH140" s="2"/>
      <c r="HI140" s="2"/>
      <c r="HJ140" s="2"/>
      <c r="HK140" s="2"/>
      <c r="HL140" s="2"/>
      <c r="HM140" s="2"/>
      <c r="HN140" s="2"/>
      <c r="HO140" s="2"/>
      <c r="HP140" s="2"/>
      <c r="HQ140" s="2"/>
      <c r="HR140" s="2"/>
      <c r="HS140" s="2"/>
      <c r="HT140" s="2"/>
      <c r="HU140" s="2"/>
    </row>
    <row r="141" spans="1:229" ht="30" customHeight="1" x14ac:dyDescent="0.35">
      <c r="A141" s="21">
        <f t="shared" si="6"/>
        <v>140</v>
      </c>
      <c r="B141" s="22" t="s">
        <v>144</v>
      </c>
      <c r="C141" s="28" t="s">
        <v>491</v>
      </c>
      <c r="D141" s="28" t="s">
        <v>492</v>
      </c>
      <c r="E141" s="25">
        <v>45875</v>
      </c>
      <c r="F141" s="26" t="s">
        <v>395</v>
      </c>
      <c r="G141" s="26" t="s">
        <v>27</v>
      </c>
      <c r="H141" s="27">
        <v>370</v>
      </c>
      <c r="I141" s="26" t="s">
        <v>28</v>
      </c>
      <c r="J141" s="33" t="s">
        <v>493</v>
      </c>
      <c r="K141" s="23" t="s">
        <v>494</v>
      </c>
      <c r="L141" s="23" t="s">
        <v>494</v>
      </c>
      <c r="M141" s="29">
        <v>1</v>
      </c>
      <c r="N141" s="30" t="s">
        <v>24</v>
      </c>
      <c r="O141" s="51" t="s">
        <v>400</v>
      </c>
      <c r="P141" s="30" t="s">
        <v>23</v>
      </c>
      <c r="Q141" s="37" t="s">
        <v>23</v>
      </c>
    </row>
    <row r="142" spans="1:229" ht="30" customHeight="1" x14ac:dyDescent="0.35">
      <c r="A142" s="21">
        <f t="shared" si="6"/>
        <v>141</v>
      </c>
      <c r="B142" s="22" t="s">
        <v>15</v>
      </c>
      <c r="C142" s="28" t="s">
        <v>495</v>
      </c>
      <c r="D142" s="28" t="s">
        <v>496</v>
      </c>
      <c r="E142" s="25">
        <v>45880</v>
      </c>
      <c r="F142" s="26" t="s">
        <v>395</v>
      </c>
      <c r="G142" s="26" t="s">
        <v>432</v>
      </c>
      <c r="H142" s="34">
        <v>212</v>
      </c>
      <c r="I142" s="26" t="s">
        <v>74</v>
      </c>
      <c r="J142" s="33" t="s">
        <v>497</v>
      </c>
      <c r="K142" s="23" t="s">
        <v>142</v>
      </c>
      <c r="L142" s="23" t="s">
        <v>142</v>
      </c>
      <c r="M142" s="29">
        <v>1</v>
      </c>
      <c r="N142" s="30" t="s">
        <v>24</v>
      </c>
      <c r="O142" s="51" t="s">
        <v>400</v>
      </c>
      <c r="P142" s="30" t="s">
        <v>23</v>
      </c>
      <c r="Q142" s="37" t="s">
        <v>23</v>
      </c>
    </row>
    <row r="143" spans="1:229" ht="30" customHeight="1" x14ac:dyDescent="0.35">
      <c r="A143" s="21">
        <f t="shared" si="6"/>
        <v>142</v>
      </c>
      <c r="B143" s="22" t="s">
        <v>144</v>
      </c>
      <c r="C143" s="28" t="s">
        <v>498</v>
      </c>
      <c r="D143" s="24" t="s">
        <v>499</v>
      </c>
      <c r="E143" s="25">
        <v>45883</v>
      </c>
      <c r="F143" s="26" t="s">
        <v>395</v>
      </c>
      <c r="G143" s="26" t="s">
        <v>432</v>
      </c>
      <c r="H143" s="34">
        <v>86</v>
      </c>
      <c r="I143" s="26" t="s">
        <v>74</v>
      </c>
      <c r="J143" s="52" t="s">
        <v>500</v>
      </c>
      <c r="K143" s="23" t="s">
        <v>142</v>
      </c>
      <c r="L143" s="23" t="s">
        <v>142</v>
      </c>
      <c r="M143" s="29">
        <v>1</v>
      </c>
      <c r="N143" s="30" t="s">
        <v>24</v>
      </c>
      <c r="O143" s="51" t="s">
        <v>400</v>
      </c>
      <c r="P143" s="30" t="s">
        <v>23</v>
      </c>
      <c r="Q143" s="37" t="s">
        <v>23</v>
      </c>
    </row>
    <row r="144" spans="1:229" ht="30" customHeight="1" x14ac:dyDescent="0.35">
      <c r="A144" s="21">
        <f t="shared" si="6"/>
        <v>143</v>
      </c>
      <c r="B144" s="22" t="s">
        <v>15</v>
      </c>
      <c r="C144" s="28" t="s">
        <v>501</v>
      </c>
      <c r="D144" s="28" t="s">
        <v>502</v>
      </c>
      <c r="E144" s="25">
        <v>45889</v>
      </c>
      <c r="F144" s="26" t="s">
        <v>395</v>
      </c>
      <c r="G144" s="26" t="s">
        <v>147</v>
      </c>
      <c r="H144" s="27">
        <v>9939</v>
      </c>
      <c r="I144" s="26" t="s">
        <v>28</v>
      </c>
      <c r="J144" s="28" t="s">
        <v>503</v>
      </c>
      <c r="K144" s="23" t="s">
        <v>504</v>
      </c>
      <c r="L144" s="23"/>
      <c r="M144" s="29"/>
      <c r="N144" s="37"/>
      <c r="O144" s="29"/>
      <c r="P144" s="37"/>
      <c r="Q144" s="37" t="s">
        <v>23</v>
      </c>
    </row>
    <row r="145" spans="1:229" ht="30" customHeight="1" x14ac:dyDescent="0.35">
      <c r="A145" s="21">
        <f t="shared" si="6"/>
        <v>144</v>
      </c>
      <c r="B145" s="22" t="s">
        <v>15</v>
      </c>
      <c r="C145" s="28" t="s">
        <v>505</v>
      </c>
      <c r="D145" s="28" t="s">
        <v>506</v>
      </c>
      <c r="E145" s="25">
        <v>45884</v>
      </c>
      <c r="F145" s="26" t="s">
        <v>395</v>
      </c>
      <c r="G145" s="26" t="s">
        <v>132</v>
      </c>
      <c r="H145" s="27">
        <v>314</v>
      </c>
      <c r="I145" s="26" t="s">
        <v>28</v>
      </c>
      <c r="J145" s="28" t="s">
        <v>507</v>
      </c>
      <c r="K145" s="23" t="s">
        <v>249</v>
      </c>
      <c r="L145" s="23"/>
      <c r="M145" s="29"/>
      <c r="N145" s="37"/>
      <c r="O145" s="51" t="s">
        <v>400</v>
      </c>
      <c r="P145" s="37"/>
      <c r="Q145" s="37" t="s">
        <v>23</v>
      </c>
    </row>
    <row r="146" spans="1:229" ht="30" customHeight="1" x14ac:dyDescent="0.35">
      <c r="A146" s="21">
        <f t="shared" si="6"/>
        <v>145</v>
      </c>
      <c r="B146" s="22" t="s">
        <v>15</v>
      </c>
      <c r="C146" s="28" t="s">
        <v>508</v>
      </c>
      <c r="D146" s="28" t="s">
        <v>509</v>
      </c>
      <c r="E146" s="25">
        <v>46067</v>
      </c>
      <c r="F146" s="26" t="s">
        <v>395</v>
      </c>
      <c r="G146" s="26" t="s">
        <v>147</v>
      </c>
      <c r="H146" s="27">
        <v>2853</v>
      </c>
      <c r="I146" s="26" t="s">
        <v>74</v>
      </c>
      <c r="J146" s="28" t="s">
        <v>510</v>
      </c>
      <c r="K146" s="23" t="s">
        <v>511</v>
      </c>
      <c r="L146" s="23"/>
      <c r="M146" s="29"/>
      <c r="N146" s="37"/>
      <c r="O146" s="29"/>
      <c r="P146" s="37"/>
      <c r="Q146" s="37" t="s">
        <v>23</v>
      </c>
    </row>
    <row r="147" spans="1:229" ht="30" customHeight="1" x14ac:dyDescent="0.35">
      <c r="A147" s="21">
        <f t="shared" si="6"/>
        <v>146</v>
      </c>
      <c r="B147" s="22" t="s">
        <v>15</v>
      </c>
      <c r="C147" s="28" t="s">
        <v>512</v>
      </c>
      <c r="D147" s="28" t="s">
        <v>513</v>
      </c>
      <c r="E147" s="25">
        <v>46062</v>
      </c>
      <c r="F147" s="26" t="s">
        <v>395</v>
      </c>
      <c r="G147" s="26" t="s">
        <v>147</v>
      </c>
      <c r="H147" s="27">
        <v>1089</v>
      </c>
      <c r="I147" s="26" t="s">
        <v>74</v>
      </c>
      <c r="J147" s="28" t="s">
        <v>514</v>
      </c>
      <c r="K147" s="23" t="s">
        <v>515</v>
      </c>
      <c r="L147" s="23"/>
      <c r="M147" s="29"/>
      <c r="N147" s="37"/>
      <c r="O147" s="29"/>
      <c r="P147" s="37"/>
      <c r="Q147" s="37" t="s">
        <v>23</v>
      </c>
    </row>
    <row r="148" spans="1:229" ht="30" customHeight="1" x14ac:dyDescent="0.35">
      <c r="A148" s="21">
        <f t="shared" si="6"/>
        <v>147</v>
      </c>
      <c r="B148" s="22" t="s">
        <v>15</v>
      </c>
      <c r="C148" s="28" t="s">
        <v>516</v>
      </c>
      <c r="D148" s="28" t="s">
        <v>517</v>
      </c>
      <c r="E148" s="25">
        <v>45890</v>
      </c>
      <c r="F148" s="26" t="s">
        <v>395</v>
      </c>
      <c r="G148" s="26" t="s">
        <v>27</v>
      </c>
      <c r="H148" s="27">
        <v>130</v>
      </c>
      <c r="I148" s="26" t="s">
        <v>28</v>
      </c>
      <c r="J148" s="28" t="s">
        <v>518</v>
      </c>
      <c r="K148" s="23" t="s">
        <v>445</v>
      </c>
      <c r="L148" s="23" t="s">
        <v>445</v>
      </c>
      <c r="M148" s="29">
        <v>1</v>
      </c>
      <c r="N148" s="30" t="s">
        <v>23</v>
      </c>
      <c r="O148" s="29">
        <v>1</v>
      </c>
      <c r="P148" s="30" t="s">
        <v>23</v>
      </c>
      <c r="Q148" s="37" t="s">
        <v>23</v>
      </c>
    </row>
    <row r="149" spans="1:229" ht="30" customHeight="1" x14ac:dyDescent="0.35">
      <c r="A149" s="21">
        <f t="shared" si="6"/>
        <v>148</v>
      </c>
      <c r="B149" s="22" t="s">
        <v>15</v>
      </c>
      <c r="C149" s="28" t="s">
        <v>519</v>
      </c>
      <c r="D149" s="28" t="s">
        <v>520</v>
      </c>
      <c r="E149" s="25">
        <v>45890</v>
      </c>
      <c r="F149" s="26" t="s">
        <v>395</v>
      </c>
      <c r="G149" s="26" t="s">
        <v>19</v>
      </c>
      <c r="H149" s="27">
        <v>111</v>
      </c>
      <c r="I149" s="26" t="s">
        <v>74</v>
      </c>
      <c r="J149" s="28" t="s">
        <v>521</v>
      </c>
      <c r="K149" s="28" t="s">
        <v>494</v>
      </c>
      <c r="L149" s="28"/>
      <c r="M149" s="29"/>
      <c r="N149" s="37"/>
      <c r="O149" s="51" t="s">
        <v>400</v>
      </c>
      <c r="P149" s="37"/>
      <c r="Q149" s="37" t="s">
        <v>23</v>
      </c>
    </row>
    <row r="150" spans="1:229" ht="25.05" customHeight="1" x14ac:dyDescent="0.35">
      <c r="A150" s="21">
        <f t="shared" si="6"/>
        <v>149</v>
      </c>
      <c r="B150" s="22" t="s">
        <v>144</v>
      </c>
      <c r="C150" s="28" t="s">
        <v>522</v>
      </c>
      <c r="D150" s="28" t="s">
        <v>523</v>
      </c>
      <c r="E150" s="25">
        <v>45890</v>
      </c>
      <c r="F150" s="26" t="s">
        <v>395</v>
      </c>
      <c r="G150" s="26" t="s">
        <v>147</v>
      </c>
      <c r="H150" s="34">
        <v>5526</v>
      </c>
      <c r="I150" s="26" t="s">
        <v>121</v>
      </c>
      <c r="J150" s="33" t="s">
        <v>524</v>
      </c>
      <c r="K150" s="28" t="s">
        <v>123</v>
      </c>
      <c r="L150" s="28"/>
      <c r="M150" s="29">
        <v>1</v>
      </c>
      <c r="N150" s="37"/>
      <c r="O150" s="51" t="s">
        <v>400</v>
      </c>
      <c r="P150" s="30" t="s">
        <v>24</v>
      </c>
      <c r="Q150" s="30" t="s">
        <v>24</v>
      </c>
    </row>
    <row r="151" spans="1:229" ht="25.05" customHeight="1" x14ac:dyDescent="0.35">
      <c r="A151" s="21">
        <f t="shared" si="6"/>
        <v>150</v>
      </c>
      <c r="B151" s="31" t="s">
        <v>144</v>
      </c>
      <c r="C151" s="28" t="s">
        <v>525</v>
      </c>
      <c r="D151" s="28" t="s">
        <v>526</v>
      </c>
      <c r="E151" s="25">
        <v>45902</v>
      </c>
      <c r="F151" s="26" t="s">
        <v>395</v>
      </c>
      <c r="G151" s="53" t="s">
        <v>147</v>
      </c>
      <c r="H151" s="27">
        <v>382</v>
      </c>
      <c r="I151" s="26" t="s">
        <v>121</v>
      </c>
      <c r="J151" s="28" t="s">
        <v>527</v>
      </c>
      <c r="K151" s="28" t="s">
        <v>123</v>
      </c>
      <c r="L151" s="28"/>
      <c r="M151" s="29">
        <v>1</v>
      </c>
      <c r="N151" s="37"/>
      <c r="O151" s="51" t="s">
        <v>400</v>
      </c>
      <c r="P151" s="30" t="s">
        <v>24</v>
      </c>
      <c r="Q151" s="30" t="s">
        <v>24</v>
      </c>
    </row>
    <row r="152" spans="1:229" ht="30" customHeight="1" x14ac:dyDescent="0.35">
      <c r="A152" s="21">
        <f t="shared" si="6"/>
        <v>151</v>
      </c>
      <c r="B152" s="22" t="s">
        <v>15</v>
      </c>
      <c r="C152" s="28" t="s">
        <v>528</v>
      </c>
      <c r="D152" s="28" t="s">
        <v>529</v>
      </c>
      <c r="E152" s="25">
        <v>45914</v>
      </c>
      <c r="F152" s="25" t="s">
        <v>395</v>
      </c>
      <c r="G152" s="26" t="s">
        <v>114</v>
      </c>
      <c r="H152" s="27">
        <v>60</v>
      </c>
      <c r="I152" s="26" t="s">
        <v>20</v>
      </c>
      <c r="J152" s="33" t="s">
        <v>530</v>
      </c>
      <c r="K152" s="23" t="s">
        <v>116</v>
      </c>
      <c r="L152" s="23" t="s">
        <v>531</v>
      </c>
      <c r="M152" s="29">
        <v>1</v>
      </c>
      <c r="N152" s="30" t="s">
        <v>24</v>
      </c>
      <c r="O152" s="29">
        <v>1</v>
      </c>
      <c r="P152" s="30" t="s">
        <v>24</v>
      </c>
      <c r="Q152" s="37" t="s">
        <v>23</v>
      </c>
    </row>
    <row r="153" spans="1:229" ht="30" customHeight="1" x14ac:dyDescent="0.35">
      <c r="A153" s="21">
        <f t="shared" si="6"/>
        <v>152</v>
      </c>
      <c r="B153" s="22" t="s">
        <v>15</v>
      </c>
      <c r="C153" s="28" t="s">
        <v>532</v>
      </c>
      <c r="D153" s="28" t="s">
        <v>533</v>
      </c>
      <c r="E153" s="25">
        <v>45915</v>
      </c>
      <c r="F153" s="25" t="s">
        <v>395</v>
      </c>
      <c r="G153" s="26" t="s">
        <v>27</v>
      </c>
      <c r="H153" s="27">
        <v>214</v>
      </c>
      <c r="I153" s="26" t="s">
        <v>121</v>
      </c>
      <c r="J153" s="33" t="s">
        <v>534</v>
      </c>
      <c r="K153" s="28" t="s">
        <v>123</v>
      </c>
      <c r="L153" s="28" t="s">
        <v>123</v>
      </c>
      <c r="M153" s="29">
        <v>1</v>
      </c>
      <c r="N153" s="30" t="s">
        <v>24</v>
      </c>
      <c r="O153" s="51" t="s">
        <v>400</v>
      </c>
      <c r="P153" s="30" t="s">
        <v>24</v>
      </c>
      <c r="Q153" s="30" t="s">
        <v>24</v>
      </c>
    </row>
    <row r="154" spans="1:229" ht="30" customHeight="1" x14ac:dyDescent="0.35">
      <c r="A154" s="21">
        <f t="shared" si="6"/>
        <v>153</v>
      </c>
      <c r="B154" s="22" t="s">
        <v>15</v>
      </c>
      <c r="C154" s="28" t="s">
        <v>535</v>
      </c>
      <c r="D154" s="28" t="s">
        <v>536</v>
      </c>
      <c r="E154" s="25">
        <v>45915</v>
      </c>
      <c r="F154" s="25" t="s">
        <v>395</v>
      </c>
      <c r="G154" s="26" t="s">
        <v>27</v>
      </c>
      <c r="H154" s="27">
        <v>370</v>
      </c>
      <c r="I154" s="26" t="s">
        <v>28</v>
      </c>
      <c r="J154" s="33" t="s">
        <v>537</v>
      </c>
      <c r="K154" s="23" t="s">
        <v>494</v>
      </c>
      <c r="L154" s="23" t="s">
        <v>494</v>
      </c>
      <c r="M154" s="29">
        <v>1</v>
      </c>
      <c r="N154" s="30" t="s">
        <v>24</v>
      </c>
      <c r="O154" s="51" t="s">
        <v>400</v>
      </c>
      <c r="P154" s="30" t="s">
        <v>23</v>
      </c>
      <c r="Q154" s="37" t="s">
        <v>23</v>
      </c>
    </row>
    <row r="155" spans="1:229" ht="30" customHeight="1" x14ac:dyDescent="0.35">
      <c r="A155" s="21">
        <f t="shared" si="6"/>
        <v>154</v>
      </c>
      <c r="B155" s="22" t="s">
        <v>15</v>
      </c>
      <c r="C155" s="28" t="s">
        <v>538</v>
      </c>
      <c r="D155" s="28" t="s">
        <v>539</v>
      </c>
      <c r="E155" s="25">
        <v>45940</v>
      </c>
      <c r="F155" s="25" t="s">
        <v>395</v>
      </c>
      <c r="G155" s="26" t="s">
        <v>147</v>
      </c>
      <c r="H155" s="27">
        <v>883</v>
      </c>
      <c r="I155" s="26" t="s">
        <v>28</v>
      </c>
      <c r="J155" s="28" t="s">
        <v>540</v>
      </c>
      <c r="K155" s="23" t="s">
        <v>541</v>
      </c>
      <c r="L155" s="23"/>
      <c r="M155" s="29"/>
      <c r="N155" s="37"/>
      <c r="O155" s="29"/>
      <c r="P155" s="37"/>
      <c r="Q155" s="37" t="s">
        <v>23</v>
      </c>
      <c r="HH155" s="3"/>
      <c r="HI155" s="3"/>
      <c r="HJ155" s="3"/>
      <c r="HK155" s="3"/>
      <c r="HL155" s="3"/>
      <c r="HM155" s="3"/>
      <c r="HN155" s="3"/>
      <c r="HO155" s="3"/>
      <c r="HP155" s="3"/>
      <c r="HQ155" s="3"/>
      <c r="HR155" s="3"/>
      <c r="HS155" s="3"/>
      <c r="HT155" s="3"/>
      <c r="HU155" s="3"/>
    </row>
    <row r="156" spans="1:229" ht="30" customHeight="1" x14ac:dyDescent="0.35">
      <c r="A156" s="21">
        <f t="shared" si="6"/>
        <v>155</v>
      </c>
      <c r="B156" s="22" t="s">
        <v>144</v>
      </c>
      <c r="C156" s="28" t="s">
        <v>542</v>
      </c>
      <c r="D156" s="28" t="s">
        <v>543</v>
      </c>
      <c r="E156" s="25">
        <v>45919</v>
      </c>
      <c r="F156" s="25" t="s">
        <v>395</v>
      </c>
      <c r="G156" s="26" t="s">
        <v>432</v>
      </c>
      <c r="H156" s="27">
        <v>390</v>
      </c>
      <c r="I156" s="26" t="s">
        <v>74</v>
      </c>
      <c r="J156" s="33" t="s">
        <v>544</v>
      </c>
      <c r="K156" s="23" t="s">
        <v>155</v>
      </c>
      <c r="L156" s="23" t="s">
        <v>155</v>
      </c>
      <c r="M156" s="29">
        <v>1</v>
      </c>
      <c r="N156" s="30" t="s">
        <v>24</v>
      </c>
      <c r="O156" s="51" t="s">
        <v>400</v>
      </c>
      <c r="P156" s="30" t="s">
        <v>24</v>
      </c>
      <c r="Q156" s="37" t="s">
        <v>23</v>
      </c>
    </row>
    <row r="157" spans="1:229" ht="30" customHeight="1" x14ac:dyDescent="0.35">
      <c r="A157" s="21">
        <f t="shared" si="6"/>
        <v>156</v>
      </c>
      <c r="B157" s="22" t="s">
        <v>15</v>
      </c>
      <c r="C157" s="28" t="s">
        <v>545</v>
      </c>
      <c r="D157" s="28" t="s">
        <v>546</v>
      </c>
      <c r="E157" s="25">
        <v>45919</v>
      </c>
      <c r="F157" s="25" t="s">
        <v>395</v>
      </c>
      <c r="G157" s="26" t="s">
        <v>27</v>
      </c>
      <c r="H157" s="27">
        <v>4</v>
      </c>
      <c r="I157" s="26" t="s">
        <v>28</v>
      </c>
      <c r="J157" s="33" t="s">
        <v>547</v>
      </c>
      <c r="K157" s="23" t="s">
        <v>548</v>
      </c>
      <c r="L157" s="23" t="s">
        <v>548</v>
      </c>
      <c r="M157" s="29">
        <v>1</v>
      </c>
      <c r="N157" s="30" t="s">
        <v>23</v>
      </c>
      <c r="O157" s="29">
        <v>1</v>
      </c>
      <c r="P157" s="30" t="s">
        <v>23</v>
      </c>
      <c r="Q157" s="37" t="s">
        <v>23</v>
      </c>
    </row>
    <row r="158" spans="1:229" ht="30" customHeight="1" x14ac:dyDescent="0.35">
      <c r="A158" s="21">
        <f t="shared" si="6"/>
        <v>157</v>
      </c>
      <c r="B158" s="31" t="s">
        <v>144</v>
      </c>
      <c r="C158" s="28" t="s">
        <v>549</v>
      </c>
      <c r="D158" s="28" t="s">
        <v>550</v>
      </c>
      <c r="E158" s="25">
        <v>45923</v>
      </c>
      <c r="F158" s="25" t="s">
        <v>395</v>
      </c>
      <c r="G158" s="26" t="s">
        <v>432</v>
      </c>
      <c r="H158" s="27">
        <v>1419</v>
      </c>
      <c r="I158" s="26" t="s">
        <v>74</v>
      </c>
      <c r="J158" s="52" t="s">
        <v>551</v>
      </c>
      <c r="K158" s="23" t="s">
        <v>142</v>
      </c>
      <c r="L158" s="23" t="s">
        <v>142</v>
      </c>
      <c r="M158" s="29">
        <v>1</v>
      </c>
      <c r="N158" s="30" t="s">
        <v>24</v>
      </c>
      <c r="O158" s="51" t="s">
        <v>400</v>
      </c>
      <c r="P158" s="30" t="s">
        <v>23</v>
      </c>
      <c r="Q158" s="37" t="s">
        <v>23</v>
      </c>
    </row>
    <row r="159" spans="1:229" ht="30" customHeight="1" x14ac:dyDescent="0.35">
      <c r="A159" s="21">
        <f t="shared" si="6"/>
        <v>158</v>
      </c>
      <c r="B159" s="22" t="s">
        <v>15</v>
      </c>
      <c r="C159" s="28" t="s">
        <v>552</v>
      </c>
      <c r="D159" s="28" t="s">
        <v>553</v>
      </c>
      <c r="E159" s="25">
        <v>45884</v>
      </c>
      <c r="F159" s="26" t="s">
        <v>395</v>
      </c>
      <c r="G159" s="26" t="s">
        <v>132</v>
      </c>
      <c r="H159" s="27">
        <v>630</v>
      </c>
      <c r="I159" s="26" t="s">
        <v>28</v>
      </c>
      <c r="J159" s="28" t="s">
        <v>507</v>
      </c>
      <c r="K159" s="23" t="s">
        <v>554</v>
      </c>
      <c r="L159" s="23"/>
      <c r="M159" s="29"/>
      <c r="N159" s="37"/>
      <c r="O159" s="29"/>
      <c r="P159" s="37"/>
      <c r="Q159" s="37" t="s">
        <v>23</v>
      </c>
    </row>
    <row r="160" spans="1:229" ht="30" customHeight="1" x14ac:dyDescent="0.35">
      <c r="A160" s="21">
        <f t="shared" si="6"/>
        <v>159</v>
      </c>
      <c r="B160" s="22" t="s">
        <v>15</v>
      </c>
      <c r="C160" s="28" t="s">
        <v>555</v>
      </c>
      <c r="D160" s="28" t="s">
        <v>556</v>
      </c>
      <c r="E160" s="25">
        <v>45950</v>
      </c>
      <c r="F160" s="26" t="s">
        <v>395</v>
      </c>
      <c r="G160" s="26" t="s">
        <v>120</v>
      </c>
      <c r="H160" s="27">
        <v>287</v>
      </c>
      <c r="I160" s="26" t="s">
        <v>28</v>
      </c>
      <c r="J160" s="28" t="s">
        <v>557</v>
      </c>
      <c r="K160" s="23" t="s">
        <v>558</v>
      </c>
      <c r="L160" s="23"/>
      <c r="M160" s="29"/>
      <c r="N160" s="37"/>
      <c r="O160" s="29"/>
      <c r="P160" s="37"/>
      <c r="Q160" s="37" t="s">
        <v>23</v>
      </c>
    </row>
    <row r="161" spans="1:202" ht="30" customHeight="1" x14ac:dyDescent="0.35">
      <c r="A161" s="21">
        <f t="shared" si="6"/>
        <v>160</v>
      </c>
      <c r="B161" s="22" t="s">
        <v>144</v>
      </c>
      <c r="C161" s="28" t="s">
        <v>559</v>
      </c>
      <c r="D161" s="28" t="s">
        <v>560</v>
      </c>
      <c r="E161" s="25">
        <v>45951</v>
      </c>
      <c r="F161" s="26" t="s">
        <v>395</v>
      </c>
      <c r="G161" s="26" t="s">
        <v>27</v>
      </c>
      <c r="H161" s="27">
        <v>1821</v>
      </c>
      <c r="I161" s="26" t="s">
        <v>28</v>
      </c>
      <c r="J161" s="52" t="s">
        <v>561</v>
      </c>
      <c r="K161" s="23" t="s">
        <v>494</v>
      </c>
      <c r="L161" s="23" t="s">
        <v>494</v>
      </c>
      <c r="M161" s="29">
        <v>1</v>
      </c>
      <c r="N161" s="30" t="s">
        <v>24</v>
      </c>
      <c r="O161" s="51" t="s">
        <v>400</v>
      </c>
      <c r="P161" s="30" t="s">
        <v>23</v>
      </c>
      <c r="Q161" s="37" t="s">
        <v>23</v>
      </c>
    </row>
    <row r="162" spans="1:202" ht="30" customHeight="1" x14ac:dyDescent="0.35">
      <c r="A162" s="21">
        <f t="shared" si="6"/>
        <v>161</v>
      </c>
      <c r="B162" s="22" t="s">
        <v>144</v>
      </c>
      <c r="C162" s="28" t="s">
        <v>562</v>
      </c>
      <c r="D162" s="28" t="s">
        <v>563</v>
      </c>
      <c r="E162" s="25">
        <v>45952</v>
      </c>
      <c r="F162" s="26" t="s">
        <v>395</v>
      </c>
      <c r="G162" s="26" t="s">
        <v>114</v>
      </c>
      <c r="H162" s="27">
        <v>121</v>
      </c>
      <c r="I162" s="26" t="s">
        <v>20</v>
      </c>
      <c r="J162" s="52" t="s">
        <v>564</v>
      </c>
      <c r="K162" s="23" t="s">
        <v>116</v>
      </c>
      <c r="L162" s="23" t="s">
        <v>116</v>
      </c>
      <c r="M162" s="29">
        <v>1</v>
      </c>
      <c r="N162" s="30" t="s">
        <v>24</v>
      </c>
      <c r="O162" s="51" t="s">
        <v>400</v>
      </c>
      <c r="P162" s="30" t="s">
        <v>24</v>
      </c>
      <c r="Q162" s="37" t="s">
        <v>23</v>
      </c>
    </row>
    <row r="163" spans="1:202" ht="30" customHeight="1" x14ac:dyDescent="0.35">
      <c r="A163" s="21">
        <f t="shared" si="6"/>
        <v>162</v>
      </c>
      <c r="B163" s="22" t="s">
        <v>144</v>
      </c>
      <c r="C163" s="28" t="s">
        <v>565</v>
      </c>
      <c r="D163" s="28" t="s">
        <v>566</v>
      </c>
      <c r="E163" s="25">
        <v>45961</v>
      </c>
      <c r="F163" s="36" t="s">
        <v>395</v>
      </c>
      <c r="G163" s="26" t="s">
        <v>114</v>
      </c>
      <c r="H163" s="27">
        <v>148</v>
      </c>
      <c r="I163" s="26" t="s">
        <v>28</v>
      </c>
      <c r="J163" s="33" t="s">
        <v>567</v>
      </c>
      <c r="K163" s="23" t="s">
        <v>568</v>
      </c>
      <c r="L163" s="23" t="s">
        <v>568</v>
      </c>
      <c r="M163" s="29">
        <v>1</v>
      </c>
      <c r="N163" s="30" t="s">
        <v>24</v>
      </c>
      <c r="O163" s="29">
        <v>1</v>
      </c>
      <c r="P163" s="30" t="s">
        <v>24</v>
      </c>
      <c r="Q163" s="37" t="s">
        <v>23</v>
      </c>
    </row>
    <row r="164" spans="1:202" ht="30" customHeight="1" x14ac:dyDescent="0.35">
      <c r="A164" s="21">
        <f t="shared" si="6"/>
        <v>163</v>
      </c>
      <c r="B164" s="22" t="s">
        <v>15</v>
      </c>
      <c r="C164" s="28" t="s">
        <v>569</v>
      </c>
      <c r="D164" s="28" t="s">
        <v>570</v>
      </c>
      <c r="E164" s="25">
        <v>45992</v>
      </c>
      <c r="F164" s="26" t="s">
        <v>395</v>
      </c>
      <c r="G164" s="26" t="s">
        <v>27</v>
      </c>
      <c r="H164" s="27">
        <v>406</v>
      </c>
      <c r="I164" s="26" t="s">
        <v>20</v>
      </c>
      <c r="J164" s="33" t="s">
        <v>571</v>
      </c>
      <c r="K164" s="23" t="s">
        <v>572</v>
      </c>
      <c r="L164" s="23" t="s">
        <v>573</v>
      </c>
      <c r="M164" s="29">
        <v>1</v>
      </c>
      <c r="N164" s="30" t="s">
        <v>24</v>
      </c>
      <c r="O164" s="51" t="s">
        <v>400</v>
      </c>
      <c r="P164" s="30" t="s">
        <v>24</v>
      </c>
      <c r="Q164" s="37" t="s">
        <v>23</v>
      </c>
    </row>
    <row r="165" spans="1:202" ht="30" customHeight="1" x14ac:dyDescent="0.35">
      <c r="A165" s="21">
        <f t="shared" si="6"/>
        <v>164</v>
      </c>
      <c r="B165" s="22" t="s">
        <v>15</v>
      </c>
      <c r="C165" s="28" t="s">
        <v>574</v>
      </c>
      <c r="D165" s="28" t="s">
        <v>575</v>
      </c>
      <c r="E165" s="25">
        <v>45966</v>
      </c>
      <c r="F165" s="36" t="s">
        <v>395</v>
      </c>
      <c r="G165" s="26" t="s">
        <v>19</v>
      </c>
      <c r="H165" s="27">
        <v>410</v>
      </c>
      <c r="I165" s="26" t="s">
        <v>74</v>
      </c>
      <c r="J165" s="28" t="s">
        <v>576</v>
      </c>
      <c r="K165" s="28" t="s">
        <v>494</v>
      </c>
      <c r="L165" s="28"/>
      <c r="M165" s="29"/>
      <c r="N165" s="37"/>
      <c r="O165" s="51" t="s">
        <v>400</v>
      </c>
      <c r="P165" s="37"/>
      <c r="Q165" s="37" t="s">
        <v>23</v>
      </c>
    </row>
    <row r="166" spans="1:202" ht="30" customHeight="1" x14ac:dyDescent="0.35">
      <c r="A166" s="21">
        <f t="shared" si="6"/>
        <v>165</v>
      </c>
      <c r="B166" s="22" t="s">
        <v>144</v>
      </c>
      <c r="C166" s="28" t="s">
        <v>577</v>
      </c>
      <c r="D166" s="28" t="s">
        <v>578</v>
      </c>
      <c r="E166" s="25">
        <v>45966</v>
      </c>
      <c r="F166" s="36" t="s">
        <v>395</v>
      </c>
      <c r="G166" s="26" t="s">
        <v>147</v>
      </c>
      <c r="H166" s="27">
        <v>1074</v>
      </c>
      <c r="I166" s="26" t="s">
        <v>121</v>
      </c>
      <c r="J166" s="28" t="s">
        <v>579</v>
      </c>
      <c r="K166" s="28" t="s">
        <v>123</v>
      </c>
      <c r="L166" s="28"/>
      <c r="M166" s="29">
        <v>1</v>
      </c>
      <c r="N166" s="37"/>
      <c r="O166" s="51" t="s">
        <v>400</v>
      </c>
      <c r="P166" s="30" t="s">
        <v>24</v>
      </c>
      <c r="Q166" s="30" t="s">
        <v>24</v>
      </c>
    </row>
    <row r="167" spans="1:202" ht="30" customHeight="1" x14ac:dyDescent="0.35">
      <c r="A167" s="21">
        <f t="shared" si="6"/>
        <v>166</v>
      </c>
      <c r="B167" s="22" t="s">
        <v>15</v>
      </c>
      <c r="C167" s="28" t="s">
        <v>580</v>
      </c>
      <c r="D167" s="24" t="s">
        <v>581</v>
      </c>
      <c r="E167" s="25">
        <v>45968</v>
      </c>
      <c r="F167" s="36" t="s">
        <v>395</v>
      </c>
      <c r="G167" s="26" t="s">
        <v>114</v>
      </c>
      <c r="H167" s="34">
        <v>205</v>
      </c>
      <c r="I167" s="26" t="s">
        <v>28</v>
      </c>
      <c r="J167" s="52" t="s">
        <v>582</v>
      </c>
      <c r="K167" s="23" t="s">
        <v>116</v>
      </c>
      <c r="L167" s="23" t="s">
        <v>116</v>
      </c>
      <c r="M167" s="29">
        <v>1</v>
      </c>
      <c r="N167" s="30" t="s">
        <v>24</v>
      </c>
      <c r="O167" s="29">
        <v>1</v>
      </c>
      <c r="P167" s="30" t="s">
        <v>24</v>
      </c>
      <c r="Q167" s="37" t="s">
        <v>23</v>
      </c>
    </row>
    <row r="168" spans="1:202" ht="30" customHeight="1" x14ac:dyDescent="0.35">
      <c r="A168" s="21">
        <f t="shared" si="6"/>
        <v>167</v>
      </c>
      <c r="B168" s="22" t="s">
        <v>15</v>
      </c>
      <c r="C168" s="28" t="s">
        <v>583</v>
      </c>
      <c r="D168" s="28" t="s">
        <v>584</v>
      </c>
      <c r="E168" s="25">
        <v>45971</v>
      </c>
      <c r="F168" s="36" t="s">
        <v>395</v>
      </c>
      <c r="G168" s="26" t="s">
        <v>432</v>
      </c>
      <c r="H168" s="27">
        <v>399</v>
      </c>
      <c r="I168" s="26" t="s">
        <v>74</v>
      </c>
      <c r="J168" s="52" t="s">
        <v>585</v>
      </c>
      <c r="K168" s="23" t="s">
        <v>142</v>
      </c>
      <c r="L168" s="23" t="s">
        <v>142</v>
      </c>
      <c r="M168" s="29">
        <v>1</v>
      </c>
      <c r="N168" s="30" t="s">
        <v>24</v>
      </c>
      <c r="O168" s="51" t="s">
        <v>400</v>
      </c>
      <c r="P168" s="37" t="s">
        <v>23</v>
      </c>
      <c r="Q168" s="37" t="s">
        <v>23</v>
      </c>
    </row>
    <row r="169" spans="1:202" ht="30" customHeight="1" x14ac:dyDescent="0.35">
      <c r="A169" s="21">
        <f t="shared" si="6"/>
        <v>168</v>
      </c>
      <c r="B169" s="22" t="s">
        <v>15</v>
      </c>
      <c r="C169" s="28" t="s">
        <v>586</v>
      </c>
      <c r="D169" s="24" t="s">
        <v>587</v>
      </c>
      <c r="E169" s="25">
        <v>45971</v>
      </c>
      <c r="F169" s="36" t="s">
        <v>395</v>
      </c>
      <c r="G169" s="26" t="s">
        <v>27</v>
      </c>
      <c r="H169" s="34">
        <v>97</v>
      </c>
      <c r="I169" s="26" t="s">
        <v>28</v>
      </c>
      <c r="J169" s="52" t="s">
        <v>588</v>
      </c>
      <c r="K169" s="23" t="s">
        <v>494</v>
      </c>
      <c r="L169" s="23" t="s">
        <v>494</v>
      </c>
      <c r="M169" s="29">
        <v>1</v>
      </c>
      <c r="N169" s="30" t="s">
        <v>24</v>
      </c>
      <c r="O169" s="51" t="s">
        <v>400</v>
      </c>
      <c r="P169" s="30" t="s">
        <v>23</v>
      </c>
      <c r="Q169" s="37" t="s">
        <v>23</v>
      </c>
    </row>
    <row r="170" spans="1:202" ht="30" customHeight="1" x14ac:dyDescent="0.35">
      <c r="A170" s="21">
        <f t="shared" ref="A170:A201" si="7">A169+1</f>
        <v>169</v>
      </c>
      <c r="B170" s="22" t="s">
        <v>144</v>
      </c>
      <c r="C170" s="28" t="s">
        <v>589</v>
      </c>
      <c r="D170" s="28" t="s">
        <v>590</v>
      </c>
      <c r="E170" s="25">
        <v>45975</v>
      </c>
      <c r="F170" s="36" t="s">
        <v>395</v>
      </c>
      <c r="G170" s="26" t="s">
        <v>114</v>
      </c>
      <c r="H170" s="27">
        <v>5592</v>
      </c>
      <c r="I170" s="26" t="s">
        <v>20</v>
      </c>
      <c r="J170" s="33" t="s">
        <v>591</v>
      </c>
      <c r="K170" s="23" t="s">
        <v>116</v>
      </c>
      <c r="L170" s="23" t="s">
        <v>116</v>
      </c>
      <c r="M170" s="29">
        <v>1</v>
      </c>
      <c r="N170" s="30" t="s">
        <v>24</v>
      </c>
      <c r="O170" s="51" t="s">
        <v>400</v>
      </c>
      <c r="P170" s="30" t="s">
        <v>24</v>
      </c>
      <c r="Q170" s="37" t="s">
        <v>23</v>
      </c>
      <c r="GG170" s="54"/>
      <c r="GH170" s="54"/>
      <c r="GI170" s="54"/>
      <c r="GJ170" s="54"/>
      <c r="GK170" s="55"/>
      <c r="GL170" s="54"/>
      <c r="GM170" s="54"/>
      <c r="GN170" s="54"/>
      <c r="GO170" s="54"/>
      <c r="GP170" s="54"/>
      <c r="GQ170" s="54"/>
      <c r="GR170" s="54"/>
      <c r="GS170" s="56"/>
      <c r="GT170" s="54"/>
    </row>
    <row r="171" spans="1:202" ht="25.05" customHeight="1" x14ac:dyDescent="0.35">
      <c r="A171" s="21">
        <f t="shared" si="7"/>
        <v>170</v>
      </c>
      <c r="B171" s="22" t="s">
        <v>15</v>
      </c>
      <c r="C171" s="28" t="s">
        <v>592</v>
      </c>
      <c r="D171" s="28" t="s">
        <v>593</v>
      </c>
      <c r="E171" s="25">
        <v>45975</v>
      </c>
      <c r="F171" s="36" t="s">
        <v>395</v>
      </c>
      <c r="G171" s="40" t="s">
        <v>132</v>
      </c>
      <c r="H171" s="27">
        <v>185</v>
      </c>
      <c r="I171" s="26" t="s">
        <v>28</v>
      </c>
      <c r="J171" s="28" t="s">
        <v>594</v>
      </c>
      <c r="K171" s="23" t="s">
        <v>155</v>
      </c>
      <c r="L171" s="23"/>
      <c r="M171" s="29"/>
      <c r="N171" s="37"/>
      <c r="O171" s="51" t="s">
        <v>400</v>
      </c>
      <c r="P171" s="37"/>
      <c r="Q171" s="37" t="s">
        <v>23</v>
      </c>
    </row>
    <row r="172" spans="1:202" ht="25.05" customHeight="1" x14ac:dyDescent="0.35">
      <c r="A172" s="21">
        <f t="shared" si="7"/>
        <v>171</v>
      </c>
      <c r="B172" s="22" t="s">
        <v>144</v>
      </c>
      <c r="C172" s="28" t="s">
        <v>595</v>
      </c>
      <c r="D172" s="28" t="s">
        <v>596</v>
      </c>
      <c r="E172" s="25">
        <v>45979</v>
      </c>
      <c r="F172" s="26" t="s">
        <v>395</v>
      </c>
      <c r="G172" s="26" t="s">
        <v>432</v>
      </c>
      <c r="H172" s="27">
        <v>218</v>
      </c>
      <c r="I172" s="26" t="s">
        <v>74</v>
      </c>
      <c r="J172" s="33" t="s">
        <v>597</v>
      </c>
      <c r="K172" s="23" t="s">
        <v>142</v>
      </c>
      <c r="L172" s="23" t="s">
        <v>142</v>
      </c>
      <c r="M172" s="29">
        <v>1</v>
      </c>
      <c r="N172" s="30" t="s">
        <v>24</v>
      </c>
      <c r="O172" s="51" t="s">
        <v>400</v>
      </c>
      <c r="P172" s="37" t="s">
        <v>23</v>
      </c>
      <c r="Q172" s="37" t="s">
        <v>23</v>
      </c>
    </row>
    <row r="173" spans="1:202" ht="25.05" customHeight="1" x14ac:dyDescent="0.35">
      <c r="A173" s="21">
        <f t="shared" si="7"/>
        <v>172</v>
      </c>
      <c r="B173" s="22" t="s">
        <v>15</v>
      </c>
      <c r="C173" s="28" t="s">
        <v>598</v>
      </c>
      <c r="D173" s="28" t="s">
        <v>599</v>
      </c>
      <c r="E173" s="25">
        <v>45979</v>
      </c>
      <c r="F173" s="26" t="s">
        <v>395</v>
      </c>
      <c r="G173" s="26" t="s">
        <v>432</v>
      </c>
      <c r="H173" s="27">
        <v>164</v>
      </c>
      <c r="I173" s="26" t="s">
        <v>74</v>
      </c>
      <c r="J173" s="33" t="s">
        <v>600</v>
      </c>
      <c r="K173" s="23" t="s">
        <v>142</v>
      </c>
      <c r="L173" s="23" t="s">
        <v>142</v>
      </c>
      <c r="M173" s="29">
        <v>1</v>
      </c>
      <c r="N173" s="30" t="s">
        <v>24</v>
      </c>
      <c r="O173" s="51" t="s">
        <v>400</v>
      </c>
      <c r="P173" s="37" t="s">
        <v>23</v>
      </c>
      <c r="Q173" s="37" t="s">
        <v>23</v>
      </c>
      <c r="GG173" s="54"/>
      <c r="GH173" s="54"/>
      <c r="GI173" s="54"/>
      <c r="GJ173" s="57"/>
      <c r="GK173" s="55"/>
      <c r="GL173" s="54"/>
      <c r="GM173" s="54"/>
      <c r="GN173" s="54"/>
      <c r="GO173" s="54"/>
      <c r="GP173" s="58"/>
      <c r="GQ173" s="58"/>
      <c r="GR173" s="54"/>
      <c r="GS173" s="54"/>
      <c r="GT173" s="59"/>
    </row>
    <row r="174" spans="1:202" ht="30" customHeight="1" x14ac:dyDescent="0.35">
      <c r="A174" s="21">
        <f t="shared" si="7"/>
        <v>173</v>
      </c>
      <c r="B174" s="22" t="s">
        <v>15</v>
      </c>
      <c r="C174" s="28" t="s">
        <v>601</v>
      </c>
      <c r="D174" s="28" t="s">
        <v>602</v>
      </c>
      <c r="E174" s="25">
        <v>45979</v>
      </c>
      <c r="F174" s="26" t="s">
        <v>395</v>
      </c>
      <c r="G174" s="26" t="s">
        <v>432</v>
      </c>
      <c r="H174" s="27">
        <v>879</v>
      </c>
      <c r="I174" s="26" t="s">
        <v>74</v>
      </c>
      <c r="J174" s="33" t="s">
        <v>603</v>
      </c>
      <c r="K174" s="23" t="s">
        <v>142</v>
      </c>
      <c r="L174" s="23" t="s">
        <v>142</v>
      </c>
      <c r="M174" s="29">
        <v>1</v>
      </c>
      <c r="N174" s="30" t="s">
        <v>24</v>
      </c>
      <c r="O174" s="51" t="s">
        <v>400</v>
      </c>
      <c r="P174" s="37" t="s">
        <v>23</v>
      </c>
      <c r="Q174" s="37" t="s">
        <v>23</v>
      </c>
    </row>
    <row r="175" spans="1:202" ht="30" customHeight="1" x14ac:dyDescent="0.35">
      <c r="A175" s="21">
        <f t="shared" si="7"/>
        <v>174</v>
      </c>
      <c r="B175" s="22" t="s">
        <v>15</v>
      </c>
      <c r="C175" s="28" t="s">
        <v>604</v>
      </c>
      <c r="D175" s="28" t="s">
        <v>605</v>
      </c>
      <c r="E175" s="25">
        <v>45979</v>
      </c>
      <c r="F175" s="26" t="s">
        <v>395</v>
      </c>
      <c r="G175" s="26" t="s">
        <v>432</v>
      </c>
      <c r="H175" s="27">
        <v>244</v>
      </c>
      <c r="I175" s="26" t="s">
        <v>74</v>
      </c>
      <c r="J175" s="33" t="s">
        <v>606</v>
      </c>
      <c r="K175" s="23" t="s">
        <v>142</v>
      </c>
      <c r="L175" s="23" t="s">
        <v>142</v>
      </c>
      <c r="M175" s="29">
        <v>1</v>
      </c>
      <c r="N175" s="30" t="s">
        <v>24</v>
      </c>
      <c r="O175" s="51" t="s">
        <v>400</v>
      </c>
      <c r="P175" s="37" t="s">
        <v>23</v>
      </c>
      <c r="Q175" s="37" t="s">
        <v>23</v>
      </c>
    </row>
    <row r="176" spans="1:202" ht="30" customHeight="1" x14ac:dyDescent="0.35">
      <c r="A176" s="21">
        <f t="shared" si="7"/>
        <v>175</v>
      </c>
      <c r="B176" s="22" t="s">
        <v>15</v>
      </c>
      <c r="C176" s="28" t="s">
        <v>607</v>
      </c>
      <c r="D176" s="28" t="s">
        <v>608</v>
      </c>
      <c r="E176" s="25">
        <v>45979</v>
      </c>
      <c r="F176" s="26" t="s">
        <v>395</v>
      </c>
      <c r="G176" s="26" t="s">
        <v>432</v>
      </c>
      <c r="H176" s="27">
        <v>186</v>
      </c>
      <c r="I176" s="26" t="s">
        <v>20</v>
      </c>
      <c r="J176" s="33" t="s">
        <v>609</v>
      </c>
      <c r="K176" s="23" t="s">
        <v>155</v>
      </c>
      <c r="L176" s="23" t="s">
        <v>155</v>
      </c>
      <c r="M176" s="29">
        <v>1</v>
      </c>
      <c r="N176" s="30" t="s">
        <v>24</v>
      </c>
      <c r="O176" s="51" t="s">
        <v>400</v>
      </c>
      <c r="P176" s="30" t="s">
        <v>24</v>
      </c>
      <c r="Q176" s="37" t="s">
        <v>23</v>
      </c>
    </row>
    <row r="177" spans="1:229" ht="30" customHeight="1" x14ac:dyDescent="0.35">
      <c r="A177" s="21">
        <f t="shared" si="7"/>
        <v>176</v>
      </c>
      <c r="B177" s="22" t="s">
        <v>15</v>
      </c>
      <c r="C177" s="28" t="s">
        <v>610</v>
      </c>
      <c r="D177" s="28" t="s">
        <v>611</v>
      </c>
      <c r="E177" s="25">
        <v>45979</v>
      </c>
      <c r="F177" s="26" t="s">
        <v>395</v>
      </c>
      <c r="G177" s="26" t="s">
        <v>432</v>
      </c>
      <c r="H177" s="27">
        <v>29</v>
      </c>
      <c r="I177" s="26" t="s">
        <v>74</v>
      </c>
      <c r="J177" s="33" t="s">
        <v>612</v>
      </c>
      <c r="K177" s="23" t="s">
        <v>142</v>
      </c>
      <c r="L177" s="23" t="s">
        <v>142</v>
      </c>
      <c r="M177" s="29">
        <v>1</v>
      </c>
      <c r="N177" s="30" t="s">
        <v>24</v>
      </c>
      <c r="O177" s="51" t="s">
        <v>400</v>
      </c>
      <c r="P177" s="37" t="s">
        <v>23</v>
      </c>
      <c r="Q177" s="37" t="s">
        <v>23</v>
      </c>
    </row>
    <row r="178" spans="1:229" ht="30" customHeight="1" x14ac:dyDescent="0.35">
      <c r="A178" s="21">
        <f t="shared" si="7"/>
        <v>177</v>
      </c>
      <c r="B178" s="22" t="s">
        <v>15</v>
      </c>
      <c r="C178" s="28" t="s">
        <v>613</v>
      </c>
      <c r="D178" s="28" t="s">
        <v>614</v>
      </c>
      <c r="E178" s="25">
        <v>45979</v>
      </c>
      <c r="F178" s="26" t="s">
        <v>395</v>
      </c>
      <c r="G178" s="26" t="s">
        <v>432</v>
      </c>
      <c r="H178" s="27">
        <v>65</v>
      </c>
      <c r="I178" s="26" t="s">
        <v>74</v>
      </c>
      <c r="J178" s="33" t="s">
        <v>615</v>
      </c>
      <c r="K178" s="23" t="s">
        <v>142</v>
      </c>
      <c r="L178" s="23" t="s">
        <v>142</v>
      </c>
      <c r="M178" s="29">
        <v>1</v>
      </c>
      <c r="N178" s="30" t="s">
        <v>24</v>
      </c>
      <c r="O178" s="51" t="s">
        <v>400</v>
      </c>
      <c r="P178" s="37" t="s">
        <v>23</v>
      </c>
      <c r="Q178" s="37" t="s">
        <v>23</v>
      </c>
    </row>
    <row r="179" spans="1:229" ht="30" customHeight="1" x14ac:dyDescent="0.35">
      <c r="A179" s="21">
        <f t="shared" si="7"/>
        <v>178</v>
      </c>
      <c r="B179" s="22" t="s">
        <v>15</v>
      </c>
      <c r="C179" s="28" t="s">
        <v>616</v>
      </c>
      <c r="D179" s="28" t="s">
        <v>617</v>
      </c>
      <c r="E179" s="25">
        <v>45979</v>
      </c>
      <c r="F179" s="26" t="s">
        <v>395</v>
      </c>
      <c r="G179" s="26" t="s">
        <v>432</v>
      </c>
      <c r="H179" s="27">
        <v>135</v>
      </c>
      <c r="I179" s="26" t="s">
        <v>74</v>
      </c>
      <c r="J179" s="33" t="s">
        <v>618</v>
      </c>
      <c r="K179" s="23" t="s">
        <v>142</v>
      </c>
      <c r="L179" s="23" t="s">
        <v>142</v>
      </c>
      <c r="M179" s="29">
        <v>1</v>
      </c>
      <c r="N179" s="30" t="s">
        <v>24</v>
      </c>
      <c r="O179" s="51" t="s">
        <v>400</v>
      </c>
      <c r="P179" s="37" t="s">
        <v>23</v>
      </c>
      <c r="Q179" s="37" t="s">
        <v>23</v>
      </c>
    </row>
    <row r="180" spans="1:229" ht="30" customHeight="1" x14ac:dyDescent="0.35">
      <c r="A180" s="21">
        <f t="shared" si="7"/>
        <v>179</v>
      </c>
      <c r="B180" s="22" t="s">
        <v>144</v>
      </c>
      <c r="C180" s="28" t="s">
        <v>619</v>
      </c>
      <c r="D180" s="28" t="s">
        <v>620</v>
      </c>
      <c r="E180" s="25">
        <v>45979</v>
      </c>
      <c r="F180" s="26" t="s">
        <v>395</v>
      </c>
      <c r="G180" s="26" t="s">
        <v>432</v>
      </c>
      <c r="H180" s="27">
        <v>470</v>
      </c>
      <c r="I180" s="26" t="s">
        <v>74</v>
      </c>
      <c r="J180" s="33" t="s">
        <v>621</v>
      </c>
      <c r="K180" s="23" t="s">
        <v>142</v>
      </c>
      <c r="L180" s="23" t="s">
        <v>142</v>
      </c>
      <c r="M180" s="29">
        <v>1</v>
      </c>
      <c r="N180" s="30" t="s">
        <v>24</v>
      </c>
      <c r="O180" s="51" t="s">
        <v>400</v>
      </c>
      <c r="P180" s="37" t="s">
        <v>23</v>
      </c>
      <c r="Q180" s="37" t="s">
        <v>23</v>
      </c>
    </row>
    <row r="181" spans="1:229" ht="30" customHeight="1" x14ac:dyDescent="0.35">
      <c r="A181" s="21">
        <f t="shared" si="7"/>
        <v>180</v>
      </c>
      <c r="B181" s="22" t="s">
        <v>144</v>
      </c>
      <c r="C181" s="28" t="s">
        <v>622</v>
      </c>
      <c r="D181" s="28" t="s">
        <v>623</v>
      </c>
      <c r="E181" s="25">
        <v>45980</v>
      </c>
      <c r="F181" s="26" t="s">
        <v>395</v>
      </c>
      <c r="G181" s="26" t="s">
        <v>432</v>
      </c>
      <c r="H181" s="27">
        <v>296</v>
      </c>
      <c r="I181" s="26" t="s">
        <v>28</v>
      </c>
      <c r="J181" s="52" t="s">
        <v>624</v>
      </c>
      <c r="K181" s="23" t="s">
        <v>625</v>
      </c>
      <c r="L181" s="23" t="s">
        <v>625</v>
      </c>
      <c r="M181" s="29">
        <v>1</v>
      </c>
      <c r="N181" s="30" t="s">
        <v>24</v>
      </c>
      <c r="O181" s="29">
        <v>1</v>
      </c>
      <c r="P181" s="37" t="s">
        <v>23</v>
      </c>
      <c r="Q181" s="37" t="s">
        <v>23</v>
      </c>
    </row>
    <row r="182" spans="1:229" ht="30" customHeight="1" x14ac:dyDescent="0.35">
      <c r="A182" s="21">
        <f t="shared" si="7"/>
        <v>181</v>
      </c>
      <c r="B182" s="22" t="s">
        <v>15</v>
      </c>
      <c r="C182" s="28" t="s">
        <v>626</v>
      </c>
      <c r="D182" s="28" t="s">
        <v>627</v>
      </c>
      <c r="E182" s="25">
        <v>45985</v>
      </c>
      <c r="F182" s="26" t="s">
        <v>395</v>
      </c>
      <c r="G182" s="26" t="s">
        <v>432</v>
      </c>
      <c r="H182" s="27">
        <v>293</v>
      </c>
      <c r="I182" s="26" t="s">
        <v>74</v>
      </c>
      <c r="J182" s="33" t="s">
        <v>628</v>
      </c>
      <c r="K182" s="23" t="s">
        <v>142</v>
      </c>
      <c r="L182" s="23" t="s">
        <v>142</v>
      </c>
      <c r="M182" s="29">
        <v>1</v>
      </c>
      <c r="N182" s="30" t="s">
        <v>24</v>
      </c>
      <c r="O182" s="51" t="s">
        <v>400</v>
      </c>
      <c r="P182" s="37" t="s">
        <v>23</v>
      </c>
      <c r="Q182" s="37" t="s">
        <v>23</v>
      </c>
    </row>
    <row r="183" spans="1:229" ht="30" customHeight="1" x14ac:dyDescent="0.35">
      <c r="A183" s="21">
        <f t="shared" si="7"/>
        <v>182</v>
      </c>
      <c r="B183" s="22" t="s">
        <v>15</v>
      </c>
      <c r="C183" s="28" t="s">
        <v>629</v>
      </c>
      <c r="D183" s="28" t="s">
        <v>630</v>
      </c>
      <c r="E183" s="25">
        <v>45985</v>
      </c>
      <c r="F183" s="26" t="s">
        <v>395</v>
      </c>
      <c r="G183" s="40" t="s">
        <v>132</v>
      </c>
      <c r="H183" s="27">
        <v>400</v>
      </c>
      <c r="I183" s="26" t="s">
        <v>28</v>
      </c>
      <c r="J183" s="28" t="s">
        <v>631</v>
      </c>
      <c r="K183" s="23" t="s">
        <v>249</v>
      </c>
      <c r="L183" s="23"/>
      <c r="M183" s="29"/>
      <c r="N183" s="37"/>
      <c r="O183" s="29"/>
      <c r="P183" s="37"/>
      <c r="Q183" s="37" t="s">
        <v>23</v>
      </c>
    </row>
    <row r="184" spans="1:229" ht="30" customHeight="1" x14ac:dyDescent="0.35">
      <c r="A184" s="21">
        <f t="shared" si="7"/>
        <v>183</v>
      </c>
      <c r="B184" s="22" t="s">
        <v>15</v>
      </c>
      <c r="C184" s="28" t="s">
        <v>632</v>
      </c>
      <c r="D184" s="28" t="s">
        <v>633</v>
      </c>
      <c r="E184" s="25">
        <v>45985</v>
      </c>
      <c r="F184" s="26" t="s">
        <v>395</v>
      </c>
      <c r="G184" s="26" t="s">
        <v>114</v>
      </c>
      <c r="H184" s="27">
        <v>289</v>
      </c>
      <c r="I184" s="26" t="s">
        <v>74</v>
      </c>
      <c r="J184" s="33" t="s">
        <v>634</v>
      </c>
      <c r="K184" s="23" t="s">
        <v>635</v>
      </c>
      <c r="L184" s="23" t="s">
        <v>636</v>
      </c>
      <c r="M184" s="29">
        <v>1</v>
      </c>
      <c r="N184" s="30" t="s">
        <v>24</v>
      </c>
      <c r="O184" s="51" t="s">
        <v>400</v>
      </c>
      <c r="P184" s="30" t="s">
        <v>24</v>
      </c>
      <c r="Q184" s="37" t="s">
        <v>23</v>
      </c>
    </row>
    <row r="185" spans="1:229" ht="30" customHeight="1" x14ac:dyDescent="0.35">
      <c r="A185" s="21">
        <f t="shared" si="7"/>
        <v>184</v>
      </c>
      <c r="B185" s="22" t="s">
        <v>250</v>
      </c>
      <c r="C185" s="28" t="s">
        <v>637</v>
      </c>
      <c r="D185" s="28" t="s">
        <v>638</v>
      </c>
      <c r="E185" s="25">
        <v>45988</v>
      </c>
      <c r="F185" s="26" t="s">
        <v>395</v>
      </c>
      <c r="G185" s="26" t="s">
        <v>432</v>
      </c>
      <c r="H185" s="27">
        <v>25</v>
      </c>
      <c r="I185" s="26" t="s">
        <v>28</v>
      </c>
      <c r="J185" s="28" t="s">
        <v>639</v>
      </c>
      <c r="K185" s="23" t="s">
        <v>640</v>
      </c>
      <c r="L185" s="23" t="s">
        <v>640</v>
      </c>
      <c r="M185" s="29">
        <v>1</v>
      </c>
      <c r="N185" s="30" t="s">
        <v>24</v>
      </c>
      <c r="O185" s="29">
        <v>1</v>
      </c>
      <c r="P185" s="37" t="s">
        <v>23</v>
      </c>
      <c r="Q185" s="37" t="s">
        <v>23</v>
      </c>
    </row>
    <row r="186" spans="1:229" ht="30" customHeight="1" x14ac:dyDescent="0.35">
      <c r="A186" s="21">
        <f t="shared" si="7"/>
        <v>185</v>
      </c>
      <c r="B186" s="22" t="s">
        <v>144</v>
      </c>
      <c r="C186" s="28" t="s">
        <v>641</v>
      </c>
      <c r="D186" s="28" t="s">
        <v>642</v>
      </c>
      <c r="E186" s="25">
        <v>46001</v>
      </c>
      <c r="F186" s="26" t="s">
        <v>395</v>
      </c>
      <c r="G186" s="26" t="s">
        <v>147</v>
      </c>
      <c r="H186" s="27">
        <v>395</v>
      </c>
      <c r="I186" s="26" t="s">
        <v>28</v>
      </c>
      <c r="J186" s="33" t="s">
        <v>643</v>
      </c>
      <c r="K186" s="23" t="s">
        <v>644</v>
      </c>
      <c r="L186" s="23"/>
      <c r="M186" s="29"/>
      <c r="N186" s="37"/>
      <c r="O186" s="29"/>
      <c r="P186" s="37"/>
      <c r="Q186" s="37" t="s">
        <v>23</v>
      </c>
      <c r="GG186" s="54"/>
      <c r="GH186" s="54"/>
      <c r="GI186" s="54"/>
      <c r="GJ186" s="54"/>
      <c r="GK186" s="55"/>
      <c r="GL186" s="54"/>
      <c r="GM186" s="54"/>
      <c r="GN186" s="54"/>
      <c r="GO186" s="54"/>
      <c r="GP186" s="54"/>
      <c r="GQ186" s="54"/>
      <c r="GR186" s="54"/>
      <c r="GS186" s="56"/>
      <c r="GT186" s="54"/>
    </row>
    <row r="187" spans="1:229" ht="30" customHeight="1" x14ac:dyDescent="0.35">
      <c r="A187" s="21">
        <f t="shared" si="7"/>
        <v>186</v>
      </c>
      <c r="B187" s="22" t="s">
        <v>15</v>
      </c>
      <c r="C187" s="28" t="s">
        <v>645</v>
      </c>
      <c r="D187" s="24" t="s">
        <v>646</v>
      </c>
      <c r="E187" s="25">
        <v>45992</v>
      </c>
      <c r="F187" s="26" t="s">
        <v>395</v>
      </c>
      <c r="G187" s="26" t="s">
        <v>120</v>
      </c>
      <c r="H187" s="34">
        <v>234</v>
      </c>
      <c r="I187" s="26" t="s">
        <v>28</v>
      </c>
      <c r="J187" s="52" t="s">
        <v>647</v>
      </c>
      <c r="K187" s="23" t="s">
        <v>648</v>
      </c>
      <c r="L187" s="23"/>
      <c r="M187" s="29"/>
      <c r="N187" s="37"/>
      <c r="O187" s="29"/>
      <c r="P187" s="37"/>
      <c r="Q187" s="37" t="s">
        <v>23</v>
      </c>
      <c r="GG187" s="54"/>
      <c r="GH187" s="54"/>
      <c r="GI187" s="54"/>
      <c r="GJ187" s="54"/>
      <c r="GK187" s="55"/>
      <c r="GL187" s="54"/>
      <c r="GM187" s="54"/>
      <c r="GN187" s="54"/>
      <c r="GO187" s="54"/>
      <c r="GP187" s="54"/>
      <c r="GQ187" s="54"/>
      <c r="GR187" s="54"/>
      <c r="GS187" s="56"/>
      <c r="GT187" s="54"/>
    </row>
    <row r="188" spans="1:229" ht="26" customHeight="1" x14ac:dyDescent="0.35">
      <c r="A188" s="21">
        <f t="shared" si="7"/>
        <v>187</v>
      </c>
      <c r="B188" s="22" t="s">
        <v>144</v>
      </c>
      <c r="C188" s="28" t="s">
        <v>649</v>
      </c>
      <c r="D188" s="28" t="s">
        <v>650</v>
      </c>
      <c r="E188" s="25">
        <v>45993</v>
      </c>
      <c r="F188" s="26" t="s">
        <v>395</v>
      </c>
      <c r="G188" s="26" t="s">
        <v>432</v>
      </c>
      <c r="H188" s="27">
        <v>135</v>
      </c>
      <c r="I188" s="26" t="s">
        <v>28</v>
      </c>
      <c r="J188" s="33" t="s">
        <v>651</v>
      </c>
      <c r="K188" s="23" t="s">
        <v>652</v>
      </c>
      <c r="L188" s="23" t="s">
        <v>652</v>
      </c>
      <c r="M188" s="29">
        <v>1</v>
      </c>
      <c r="N188" s="30" t="s">
        <v>24</v>
      </c>
      <c r="O188" s="29">
        <v>1</v>
      </c>
      <c r="P188" s="37" t="s">
        <v>23</v>
      </c>
      <c r="Q188" s="37" t="s">
        <v>23</v>
      </c>
    </row>
    <row r="189" spans="1:229" ht="30" customHeight="1" x14ac:dyDescent="0.35">
      <c r="A189" s="21">
        <f t="shared" si="7"/>
        <v>188</v>
      </c>
      <c r="B189" s="22" t="s">
        <v>15</v>
      </c>
      <c r="C189" s="28" t="s">
        <v>653</v>
      </c>
      <c r="D189" s="28" t="s">
        <v>654</v>
      </c>
      <c r="E189" s="25">
        <v>45993</v>
      </c>
      <c r="F189" s="26" t="s">
        <v>395</v>
      </c>
      <c r="G189" s="26" t="s">
        <v>27</v>
      </c>
      <c r="H189" s="27">
        <v>350</v>
      </c>
      <c r="I189" s="26" t="s">
        <v>28</v>
      </c>
      <c r="J189" s="33" t="s">
        <v>655</v>
      </c>
      <c r="K189" s="23" t="s">
        <v>494</v>
      </c>
      <c r="L189" s="23" t="s">
        <v>494</v>
      </c>
      <c r="M189" s="29">
        <v>1</v>
      </c>
      <c r="N189" s="30" t="s">
        <v>24</v>
      </c>
      <c r="O189" s="51" t="s">
        <v>400</v>
      </c>
      <c r="P189" s="30" t="s">
        <v>23</v>
      </c>
      <c r="Q189" s="37" t="s">
        <v>23</v>
      </c>
    </row>
    <row r="190" spans="1:229" s="2" customFormat="1" ht="29" customHeight="1" x14ac:dyDescent="0.35">
      <c r="A190" s="21">
        <f t="shared" si="7"/>
        <v>189</v>
      </c>
      <c r="B190" s="22" t="s">
        <v>15</v>
      </c>
      <c r="C190" s="28" t="s">
        <v>656</v>
      </c>
      <c r="D190" s="28" t="s">
        <v>657</v>
      </c>
      <c r="E190" s="25">
        <v>45993</v>
      </c>
      <c r="F190" s="26" t="s">
        <v>395</v>
      </c>
      <c r="G190" s="26" t="s">
        <v>27</v>
      </c>
      <c r="H190" s="27">
        <v>324</v>
      </c>
      <c r="I190" s="26" t="s">
        <v>28</v>
      </c>
      <c r="J190" s="33" t="s">
        <v>658</v>
      </c>
      <c r="K190" s="23" t="s">
        <v>494</v>
      </c>
      <c r="L190" s="23" t="s">
        <v>494</v>
      </c>
      <c r="M190" s="29">
        <v>1</v>
      </c>
      <c r="N190" s="30" t="s">
        <v>24</v>
      </c>
      <c r="O190" s="51" t="s">
        <v>400</v>
      </c>
      <c r="P190" s="30" t="s">
        <v>23</v>
      </c>
      <c r="Q190" s="37" t="s">
        <v>23</v>
      </c>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row>
    <row r="191" spans="1:229" ht="30" customHeight="1" x14ac:dyDescent="0.35">
      <c r="A191" s="21">
        <f t="shared" si="7"/>
        <v>190</v>
      </c>
      <c r="B191" s="22" t="s">
        <v>144</v>
      </c>
      <c r="C191" s="28" t="s">
        <v>659</v>
      </c>
      <c r="D191" s="28" t="s">
        <v>660</v>
      </c>
      <c r="E191" s="25">
        <v>45993</v>
      </c>
      <c r="F191" s="26" t="s">
        <v>395</v>
      </c>
      <c r="G191" s="26" t="s">
        <v>147</v>
      </c>
      <c r="H191" s="34">
        <v>6291</v>
      </c>
      <c r="I191" s="26" t="s">
        <v>74</v>
      </c>
      <c r="J191" s="33" t="s">
        <v>661</v>
      </c>
      <c r="K191" s="23" t="s">
        <v>662</v>
      </c>
      <c r="L191" s="23"/>
      <c r="M191" s="29"/>
      <c r="N191" s="37"/>
      <c r="O191" s="51" t="s">
        <v>400</v>
      </c>
      <c r="P191" s="37"/>
      <c r="Q191" s="37" t="s">
        <v>23</v>
      </c>
    </row>
    <row r="192" spans="1:229" ht="30" customHeight="1" x14ac:dyDescent="0.35">
      <c r="A192" s="21">
        <f t="shared" si="7"/>
        <v>191</v>
      </c>
      <c r="B192" s="22" t="s">
        <v>144</v>
      </c>
      <c r="C192" s="28" t="s">
        <v>663</v>
      </c>
      <c r="D192" s="28" t="s">
        <v>664</v>
      </c>
      <c r="E192" s="25">
        <v>45993</v>
      </c>
      <c r="F192" s="26" t="s">
        <v>395</v>
      </c>
      <c r="G192" s="26" t="s">
        <v>147</v>
      </c>
      <c r="H192" s="34">
        <v>9354</v>
      </c>
      <c r="I192" s="26" t="s">
        <v>121</v>
      </c>
      <c r="J192" s="33" t="s">
        <v>665</v>
      </c>
      <c r="K192" s="28" t="s">
        <v>123</v>
      </c>
      <c r="L192" s="28"/>
      <c r="M192" s="29">
        <v>1</v>
      </c>
      <c r="N192" s="37"/>
      <c r="O192" s="51" t="s">
        <v>400</v>
      </c>
      <c r="P192" s="30" t="s">
        <v>24</v>
      </c>
      <c r="Q192" s="30" t="s">
        <v>24</v>
      </c>
    </row>
    <row r="193" spans="1:229" ht="30" customHeight="1" x14ac:dyDescent="0.35">
      <c r="A193" s="21">
        <f t="shared" si="7"/>
        <v>192</v>
      </c>
      <c r="B193" s="22" t="s">
        <v>15</v>
      </c>
      <c r="C193" s="28" t="s">
        <v>666</v>
      </c>
      <c r="D193" s="28" t="s">
        <v>667</v>
      </c>
      <c r="E193" s="25">
        <v>45995</v>
      </c>
      <c r="F193" s="26" t="s">
        <v>395</v>
      </c>
      <c r="G193" s="26" t="s">
        <v>27</v>
      </c>
      <c r="H193" s="34">
        <v>368</v>
      </c>
      <c r="I193" s="26" t="s">
        <v>28</v>
      </c>
      <c r="J193" s="33" t="s">
        <v>668</v>
      </c>
      <c r="K193" s="23" t="s">
        <v>494</v>
      </c>
      <c r="L193" s="23" t="s">
        <v>494</v>
      </c>
      <c r="M193" s="29">
        <v>1</v>
      </c>
      <c r="N193" s="30" t="s">
        <v>24</v>
      </c>
      <c r="O193" s="51" t="s">
        <v>400</v>
      </c>
      <c r="P193" s="30" t="s">
        <v>23</v>
      </c>
      <c r="Q193" s="37" t="s">
        <v>23</v>
      </c>
    </row>
    <row r="194" spans="1:229" ht="30" customHeight="1" x14ac:dyDescent="0.35">
      <c r="A194" s="21">
        <f t="shared" si="7"/>
        <v>193</v>
      </c>
      <c r="B194" s="22" t="s">
        <v>15</v>
      </c>
      <c r="C194" s="28" t="s">
        <v>669</v>
      </c>
      <c r="D194" s="28" t="s">
        <v>670</v>
      </c>
      <c r="E194" s="25">
        <v>45996</v>
      </c>
      <c r="F194" s="26" t="s">
        <v>395</v>
      </c>
      <c r="G194" s="26" t="s">
        <v>27</v>
      </c>
      <c r="H194" s="27">
        <v>105</v>
      </c>
      <c r="I194" s="26" t="s">
        <v>28</v>
      </c>
      <c r="J194" s="52" t="s">
        <v>671</v>
      </c>
      <c r="K194" s="23" t="s">
        <v>494</v>
      </c>
      <c r="L194" s="23" t="s">
        <v>494</v>
      </c>
      <c r="M194" s="29">
        <v>1</v>
      </c>
      <c r="N194" s="30" t="s">
        <v>24</v>
      </c>
      <c r="O194" s="51" t="s">
        <v>400</v>
      </c>
      <c r="P194" s="30" t="s">
        <v>23</v>
      </c>
      <c r="Q194" s="37" t="s">
        <v>23</v>
      </c>
    </row>
    <row r="195" spans="1:229" ht="30" customHeight="1" x14ac:dyDescent="0.35">
      <c r="A195" s="21">
        <f t="shared" si="7"/>
        <v>194</v>
      </c>
      <c r="B195" s="22" t="s">
        <v>15</v>
      </c>
      <c r="C195" s="28" t="s">
        <v>672</v>
      </c>
      <c r="D195" s="28" t="s">
        <v>673</v>
      </c>
      <c r="E195" s="25">
        <v>45996</v>
      </c>
      <c r="F195" s="26" t="s">
        <v>395</v>
      </c>
      <c r="G195" s="26" t="s">
        <v>27</v>
      </c>
      <c r="H195" s="27">
        <v>290</v>
      </c>
      <c r="I195" s="26" t="s">
        <v>28</v>
      </c>
      <c r="J195" s="52" t="s">
        <v>674</v>
      </c>
      <c r="K195" s="23" t="s">
        <v>494</v>
      </c>
      <c r="L195" s="23" t="s">
        <v>494</v>
      </c>
      <c r="M195" s="29">
        <v>1</v>
      </c>
      <c r="N195" s="30" t="s">
        <v>24</v>
      </c>
      <c r="O195" s="51" t="s">
        <v>400</v>
      </c>
      <c r="P195" s="30" t="s">
        <v>23</v>
      </c>
      <c r="Q195" s="37" t="s">
        <v>23</v>
      </c>
      <c r="GG195" s="54"/>
      <c r="GH195" s="54"/>
      <c r="GI195" s="54"/>
      <c r="GJ195" s="54"/>
      <c r="GK195" s="55"/>
      <c r="GL195" s="54"/>
      <c r="GM195" s="54"/>
      <c r="GN195" s="54"/>
      <c r="GO195" s="54"/>
      <c r="GP195" s="54"/>
      <c r="GQ195" s="54"/>
      <c r="GR195" s="54"/>
      <c r="GS195" s="56"/>
      <c r="GT195" s="54"/>
    </row>
    <row r="196" spans="1:229" s="3" customFormat="1" ht="30" customHeight="1" x14ac:dyDescent="0.35">
      <c r="A196" s="21">
        <f t="shared" si="7"/>
        <v>195</v>
      </c>
      <c r="B196" s="22" t="s">
        <v>15</v>
      </c>
      <c r="C196" s="28" t="s">
        <v>675</v>
      </c>
      <c r="D196" s="28" t="s">
        <v>676</v>
      </c>
      <c r="E196" s="25">
        <v>45996</v>
      </c>
      <c r="F196" s="26" t="s">
        <v>395</v>
      </c>
      <c r="G196" s="26" t="s">
        <v>27</v>
      </c>
      <c r="H196" s="34">
        <v>17</v>
      </c>
      <c r="I196" s="26" t="s">
        <v>28</v>
      </c>
      <c r="J196" s="33" t="s">
        <v>677</v>
      </c>
      <c r="K196" s="23" t="s">
        <v>494</v>
      </c>
      <c r="L196" s="23" t="s">
        <v>494</v>
      </c>
      <c r="M196" s="29">
        <v>1</v>
      </c>
      <c r="N196" s="30" t="s">
        <v>24</v>
      </c>
      <c r="O196" s="51" t="s">
        <v>400</v>
      </c>
      <c r="P196" s="30" t="s">
        <v>23</v>
      </c>
      <c r="Q196" s="37" t="s">
        <v>23</v>
      </c>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row>
    <row r="197" spans="1:229" ht="30" customHeight="1" x14ac:dyDescent="0.35">
      <c r="A197" s="21">
        <f t="shared" si="7"/>
        <v>196</v>
      </c>
      <c r="B197" s="22" t="s">
        <v>144</v>
      </c>
      <c r="C197" s="28" t="s">
        <v>678</v>
      </c>
      <c r="D197" s="28" t="s">
        <v>679</v>
      </c>
      <c r="E197" s="25">
        <v>45996</v>
      </c>
      <c r="F197" s="26" t="s">
        <v>395</v>
      </c>
      <c r="G197" s="26" t="s">
        <v>27</v>
      </c>
      <c r="H197" s="34">
        <v>97</v>
      </c>
      <c r="I197" s="26" t="s">
        <v>121</v>
      </c>
      <c r="J197" s="33" t="s">
        <v>680</v>
      </c>
      <c r="K197" s="28" t="s">
        <v>123</v>
      </c>
      <c r="L197" s="28" t="s">
        <v>123</v>
      </c>
      <c r="M197" s="29">
        <v>1</v>
      </c>
      <c r="N197" s="30" t="s">
        <v>24</v>
      </c>
      <c r="O197" s="51" t="s">
        <v>400</v>
      </c>
      <c r="P197" s="30" t="s">
        <v>24</v>
      </c>
      <c r="Q197" s="30" t="s">
        <v>24</v>
      </c>
    </row>
    <row r="198" spans="1:229" ht="30" customHeight="1" x14ac:dyDescent="0.35">
      <c r="A198" s="21">
        <f t="shared" si="7"/>
        <v>197</v>
      </c>
      <c r="B198" s="22" t="s">
        <v>15</v>
      </c>
      <c r="C198" s="28" t="s">
        <v>681</v>
      </c>
      <c r="D198" s="28" t="s">
        <v>682</v>
      </c>
      <c r="E198" s="25">
        <v>45996</v>
      </c>
      <c r="F198" s="26" t="s">
        <v>395</v>
      </c>
      <c r="G198" s="26" t="s">
        <v>19</v>
      </c>
      <c r="H198" s="27">
        <v>51</v>
      </c>
      <c r="I198" s="26" t="s">
        <v>74</v>
      </c>
      <c r="J198" s="52" t="s">
        <v>683</v>
      </c>
      <c r="K198" s="28" t="s">
        <v>684</v>
      </c>
      <c r="L198" s="28"/>
      <c r="M198" s="29"/>
      <c r="N198" s="37"/>
      <c r="O198" s="51" t="s">
        <v>400</v>
      </c>
      <c r="P198" s="37"/>
      <c r="Q198" s="37" t="s">
        <v>23</v>
      </c>
    </row>
    <row r="199" spans="1:229" ht="30" customHeight="1" x14ac:dyDescent="0.35">
      <c r="A199" s="21">
        <f t="shared" si="7"/>
        <v>198</v>
      </c>
      <c r="B199" s="22" t="s">
        <v>15</v>
      </c>
      <c r="C199" s="28" t="s">
        <v>685</v>
      </c>
      <c r="D199" s="28" t="s">
        <v>686</v>
      </c>
      <c r="E199" s="25">
        <v>45996</v>
      </c>
      <c r="F199" s="26" t="s">
        <v>395</v>
      </c>
      <c r="G199" s="26" t="s">
        <v>19</v>
      </c>
      <c r="H199" s="27">
        <v>140</v>
      </c>
      <c r="I199" s="26" t="s">
        <v>74</v>
      </c>
      <c r="J199" s="52" t="s">
        <v>687</v>
      </c>
      <c r="K199" s="28" t="s">
        <v>688</v>
      </c>
      <c r="L199" s="28"/>
      <c r="M199" s="29"/>
      <c r="N199" s="37"/>
      <c r="O199" s="51" t="s">
        <v>400</v>
      </c>
      <c r="P199" s="37"/>
      <c r="Q199" s="37" t="s">
        <v>23</v>
      </c>
      <c r="GG199" s="54"/>
      <c r="GH199" s="54"/>
      <c r="GI199" s="54"/>
      <c r="GJ199" s="54"/>
      <c r="GK199" s="55"/>
      <c r="GL199" s="54"/>
      <c r="GM199" s="54"/>
      <c r="GN199" s="54"/>
      <c r="GO199" s="54"/>
      <c r="GP199" s="54"/>
      <c r="GQ199" s="54"/>
      <c r="GR199" s="54"/>
      <c r="GS199" s="56"/>
      <c r="GT199" s="54"/>
    </row>
    <row r="200" spans="1:229" ht="26" customHeight="1" x14ac:dyDescent="0.35">
      <c r="A200" s="21">
        <f t="shared" si="7"/>
        <v>199</v>
      </c>
      <c r="B200" s="22" t="s">
        <v>15</v>
      </c>
      <c r="C200" s="28" t="s">
        <v>689</v>
      </c>
      <c r="D200" s="28" t="s">
        <v>690</v>
      </c>
      <c r="E200" s="25">
        <v>45999</v>
      </c>
      <c r="F200" s="26" t="s">
        <v>395</v>
      </c>
      <c r="G200" s="26" t="s">
        <v>132</v>
      </c>
      <c r="H200" s="27">
        <v>185</v>
      </c>
      <c r="I200" s="26" t="s">
        <v>20</v>
      </c>
      <c r="J200" s="52" t="s">
        <v>691</v>
      </c>
      <c r="K200" s="23" t="s">
        <v>155</v>
      </c>
      <c r="L200" s="23"/>
      <c r="M200" s="29">
        <v>1</v>
      </c>
      <c r="N200" s="37"/>
      <c r="O200" s="51" t="s">
        <v>400</v>
      </c>
      <c r="P200" s="30" t="s">
        <v>24</v>
      </c>
      <c r="Q200" s="37" t="s">
        <v>23</v>
      </c>
    </row>
    <row r="201" spans="1:229" ht="26" customHeight="1" x14ac:dyDescent="0.35">
      <c r="A201" s="21">
        <f t="shared" si="7"/>
        <v>200</v>
      </c>
      <c r="B201" s="22" t="s">
        <v>15</v>
      </c>
      <c r="C201" s="28" t="s">
        <v>692</v>
      </c>
      <c r="D201" s="28" t="s">
        <v>693</v>
      </c>
      <c r="E201" s="25">
        <v>45917</v>
      </c>
      <c r="F201" s="25" t="s">
        <v>395</v>
      </c>
      <c r="G201" s="26" t="s">
        <v>27</v>
      </c>
      <c r="H201" s="27">
        <v>266</v>
      </c>
      <c r="I201" s="26" t="s">
        <v>20</v>
      </c>
      <c r="J201" s="23" t="s">
        <v>694</v>
      </c>
      <c r="K201" s="23" t="s">
        <v>572</v>
      </c>
      <c r="L201" s="23" t="s">
        <v>572</v>
      </c>
      <c r="M201" s="29">
        <v>1</v>
      </c>
      <c r="N201" s="30" t="s">
        <v>24</v>
      </c>
      <c r="O201" s="29">
        <v>1</v>
      </c>
      <c r="P201" s="30" t="s">
        <v>24</v>
      </c>
      <c r="Q201" s="37" t="s">
        <v>23</v>
      </c>
    </row>
    <row r="202" spans="1:229" ht="26" customHeight="1" x14ac:dyDescent="0.35">
      <c r="A202" s="21">
        <f t="shared" ref="A202:A234" si="8">A201+1</f>
        <v>201</v>
      </c>
      <c r="B202" s="22" t="s">
        <v>15</v>
      </c>
      <c r="C202" s="28" t="s">
        <v>695</v>
      </c>
      <c r="D202" s="28" t="s">
        <v>696</v>
      </c>
      <c r="E202" s="25">
        <v>45966</v>
      </c>
      <c r="F202" s="36" t="s">
        <v>395</v>
      </c>
      <c r="G202" s="26" t="s">
        <v>27</v>
      </c>
      <c r="H202" s="27">
        <v>203</v>
      </c>
      <c r="I202" s="26" t="s">
        <v>28</v>
      </c>
      <c r="J202" s="28" t="s">
        <v>697</v>
      </c>
      <c r="K202" s="23" t="s">
        <v>698</v>
      </c>
      <c r="L202" s="23" t="s">
        <v>698</v>
      </c>
      <c r="M202" s="29">
        <v>1</v>
      </c>
      <c r="N202" s="30" t="s">
        <v>24</v>
      </c>
      <c r="O202" s="29">
        <v>1</v>
      </c>
      <c r="P202" s="30" t="s">
        <v>23</v>
      </c>
      <c r="Q202" s="37" t="s">
        <v>23</v>
      </c>
    </row>
    <row r="203" spans="1:229" ht="26" customHeight="1" x14ac:dyDescent="0.35">
      <c r="A203" s="21">
        <f t="shared" si="8"/>
        <v>202</v>
      </c>
      <c r="B203" s="22" t="s">
        <v>15</v>
      </c>
      <c r="C203" s="28" t="s">
        <v>699</v>
      </c>
      <c r="D203" s="28" t="s">
        <v>700</v>
      </c>
      <c r="E203" s="25">
        <v>46002</v>
      </c>
      <c r="F203" s="26" t="s">
        <v>395</v>
      </c>
      <c r="G203" s="26" t="s">
        <v>27</v>
      </c>
      <c r="H203" s="27">
        <v>243</v>
      </c>
      <c r="I203" s="26" t="s">
        <v>28</v>
      </c>
      <c r="J203" s="33" t="s">
        <v>701</v>
      </c>
      <c r="K203" s="23" t="s">
        <v>494</v>
      </c>
      <c r="L203" s="23" t="s">
        <v>494</v>
      </c>
      <c r="M203" s="29">
        <v>1</v>
      </c>
      <c r="N203" s="30" t="s">
        <v>24</v>
      </c>
      <c r="O203" s="51" t="s">
        <v>400</v>
      </c>
      <c r="P203" s="30" t="s">
        <v>23</v>
      </c>
      <c r="Q203" s="37" t="s">
        <v>23</v>
      </c>
    </row>
    <row r="204" spans="1:229" s="3" customFormat="1" ht="30" customHeight="1" x14ac:dyDescent="0.35">
      <c r="A204" s="21">
        <f t="shared" si="8"/>
        <v>203</v>
      </c>
      <c r="B204" s="22" t="s">
        <v>15</v>
      </c>
      <c r="C204" s="28" t="s">
        <v>702</v>
      </c>
      <c r="D204" s="28" t="s">
        <v>703</v>
      </c>
      <c r="E204" s="25">
        <v>46015</v>
      </c>
      <c r="F204" s="26" t="s">
        <v>395</v>
      </c>
      <c r="G204" s="26" t="s">
        <v>27</v>
      </c>
      <c r="H204" s="27">
        <v>526</v>
      </c>
      <c r="I204" s="26" t="s">
        <v>74</v>
      </c>
      <c r="J204" s="28" t="s">
        <v>704</v>
      </c>
      <c r="K204" s="23" t="s">
        <v>705</v>
      </c>
      <c r="L204" s="23" t="s">
        <v>705</v>
      </c>
      <c r="M204" s="29">
        <v>1</v>
      </c>
      <c r="N204" s="30" t="s">
        <v>23</v>
      </c>
      <c r="O204" s="29">
        <v>0.9</v>
      </c>
      <c r="P204" s="30" t="s">
        <v>23</v>
      </c>
      <c r="Q204" s="37" t="s">
        <v>23</v>
      </c>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row>
    <row r="205" spans="1:229" s="3" customFormat="1" ht="30" customHeight="1" x14ac:dyDescent="0.35">
      <c r="A205" s="21">
        <f t="shared" si="8"/>
        <v>204</v>
      </c>
      <c r="B205" s="22" t="s">
        <v>144</v>
      </c>
      <c r="C205" s="28" t="s">
        <v>706</v>
      </c>
      <c r="D205" s="28" t="s">
        <v>707</v>
      </c>
      <c r="E205" s="25">
        <v>46020</v>
      </c>
      <c r="F205" s="26" t="s">
        <v>395</v>
      </c>
      <c r="G205" s="26" t="s">
        <v>120</v>
      </c>
      <c r="H205" s="27">
        <v>784</v>
      </c>
      <c r="I205" s="26" t="s">
        <v>74</v>
      </c>
      <c r="J205" s="52" t="s">
        <v>708</v>
      </c>
      <c r="K205" s="23" t="s">
        <v>709</v>
      </c>
      <c r="L205" s="23"/>
      <c r="M205" s="29"/>
      <c r="N205" s="37"/>
      <c r="O205" s="29"/>
      <c r="P205" s="37"/>
      <c r="Q205" s="37" t="s">
        <v>23</v>
      </c>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row>
    <row r="206" spans="1:229" ht="33" customHeight="1" x14ac:dyDescent="0.35">
      <c r="A206" s="21">
        <f t="shared" si="8"/>
        <v>205</v>
      </c>
      <c r="B206" s="22" t="s">
        <v>144</v>
      </c>
      <c r="C206" s="28" t="s">
        <v>710</v>
      </c>
      <c r="D206" s="28" t="s">
        <v>711</v>
      </c>
      <c r="E206" s="25">
        <v>46021</v>
      </c>
      <c r="F206" s="26" t="s">
        <v>395</v>
      </c>
      <c r="G206" s="26" t="s">
        <v>114</v>
      </c>
      <c r="H206" s="27">
        <v>619</v>
      </c>
      <c r="I206" s="26" t="s">
        <v>20</v>
      </c>
      <c r="J206" s="52" t="s">
        <v>712</v>
      </c>
      <c r="K206" s="23" t="s">
        <v>116</v>
      </c>
      <c r="L206" s="23" t="s">
        <v>116</v>
      </c>
      <c r="M206" s="29">
        <v>1</v>
      </c>
      <c r="N206" s="30" t="s">
        <v>24</v>
      </c>
      <c r="O206" s="51" t="s">
        <v>400</v>
      </c>
      <c r="P206" s="30" t="s">
        <v>24</v>
      </c>
      <c r="Q206" s="37" t="s">
        <v>23</v>
      </c>
    </row>
    <row r="207" spans="1:229" ht="30" customHeight="1" x14ac:dyDescent="0.35">
      <c r="A207" s="21">
        <f t="shared" si="8"/>
        <v>206</v>
      </c>
      <c r="B207" s="22" t="s">
        <v>15</v>
      </c>
      <c r="C207" s="28" t="s">
        <v>713</v>
      </c>
      <c r="D207" s="28" t="s">
        <v>714</v>
      </c>
      <c r="E207" s="25">
        <v>46048</v>
      </c>
      <c r="F207" s="26" t="s">
        <v>395</v>
      </c>
      <c r="G207" s="40" t="s">
        <v>132</v>
      </c>
      <c r="H207" s="27">
        <v>124</v>
      </c>
      <c r="I207" s="26" t="s">
        <v>28</v>
      </c>
      <c r="J207" s="33" t="s">
        <v>715</v>
      </c>
      <c r="K207" s="23" t="s">
        <v>249</v>
      </c>
      <c r="L207" s="23"/>
      <c r="M207" s="29"/>
      <c r="N207" s="37"/>
      <c r="O207" s="29"/>
      <c r="P207" s="37"/>
      <c r="Q207" s="37" t="s">
        <v>23</v>
      </c>
    </row>
    <row r="208" spans="1:229" ht="30" customHeight="1" x14ac:dyDescent="0.35">
      <c r="A208" s="21">
        <f t="shared" si="8"/>
        <v>207</v>
      </c>
      <c r="B208" s="22" t="s">
        <v>15</v>
      </c>
      <c r="C208" s="28" t="s">
        <v>716</v>
      </c>
      <c r="D208" s="28" t="s">
        <v>717</v>
      </c>
      <c r="E208" s="25">
        <v>46055</v>
      </c>
      <c r="F208" s="26" t="s">
        <v>395</v>
      </c>
      <c r="G208" s="26" t="s">
        <v>27</v>
      </c>
      <c r="H208" s="27">
        <v>216</v>
      </c>
      <c r="I208" s="26" t="s">
        <v>28</v>
      </c>
      <c r="J208" s="28" t="s">
        <v>718</v>
      </c>
      <c r="K208" s="23" t="s">
        <v>719</v>
      </c>
      <c r="L208" s="23" t="s">
        <v>719</v>
      </c>
      <c r="M208" s="29">
        <v>1</v>
      </c>
      <c r="N208" s="30" t="s">
        <v>23</v>
      </c>
      <c r="O208" s="29">
        <v>0.9</v>
      </c>
      <c r="P208" s="30" t="s">
        <v>23</v>
      </c>
      <c r="Q208" s="37" t="s">
        <v>23</v>
      </c>
    </row>
    <row r="209" spans="1:215" ht="30" customHeight="1" x14ac:dyDescent="0.35">
      <c r="A209" s="21">
        <f t="shared" si="8"/>
        <v>208</v>
      </c>
      <c r="B209" s="22" t="s">
        <v>144</v>
      </c>
      <c r="C209" s="28" t="s">
        <v>720</v>
      </c>
      <c r="D209" s="24" t="s">
        <v>721</v>
      </c>
      <c r="E209" s="25">
        <v>45775</v>
      </c>
      <c r="F209" s="25" t="s">
        <v>395</v>
      </c>
      <c r="G209" s="26" t="s">
        <v>27</v>
      </c>
      <c r="H209" s="34">
        <v>176</v>
      </c>
      <c r="I209" s="26" t="s">
        <v>20</v>
      </c>
      <c r="J209" s="52" t="s">
        <v>722</v>
      </c>
      <c r="K209" s="23" t="s">
        <v>572</v>
      </c>
      <c r="L209" s="23" t="s">
        <v>572</v>
      </c>
      <c r="M209" s="29">
        <v>1</v>
      </c>
      <c r="N209" s="30" t="s">
        <v>24</v>
      </c>
      <c r="O209" s="29">
        <v>1</v>
      </c>
      <c r="P209" s="30" t="s">
        <v>24</v>
      </c>
      <c r="Q209" s="37" t="s">
        <v>23</v>
      </c>
    </row>
    <row r="210" spans="1:215" ht="30" customHeight="1" x14ac:dyDescent="0.35">
      <c r="A210" s="21">
        <f t="shared" si="8"/>
        <v>209</v>
      </c>
      <c r="B210" s="22" t="s">
        <v>15</v>
      </c>
      <c r="C210" s="28" t="s">
        <v>723</v>
      </c>
      <c r="D210" s="28" t="s">
        <v>724</v>
      </c>
      <c r="E210" s="25">
        <v>46132</v>
      </c>
      <c r="F210" s="26" t="s">
        <v>395</v>
      </c>
      <c r="G210" s="26" t="s">
        <v>147</v>
      </c>
      <c r="H210" s="27">
        <v>174</v>
      </c>
      <c r="I210" s="26" t="s">
        <v>28</v>
      </c>
      <c r="J210" s="28" t="s">
        <v>725</v>
      </c>
      <c r="K210" s="23" t="s">
        <v>726</v>
      </c>
      <c r="L210" s="23"/>
      <c r="M210" s="29"/>
      <c r="N210" s="37"/>
      <c r="O210" s="29"/>
      <c r="P210" s="37"/>
      <c r="Q210" s="37" t="s">
        <v>23</v>
      </c>
    </row>
    <row r="211" spans="1:215" ht="30" customHeight="1" x14ac:dyDescent="0.35">
      <c r="A211" s="21">
        <f t="shared" si="8"/>
        <v>210</v>
      </c>
      <c r="B211" s="22" t="s">
        <v>15</v>
      </c>
      <c r="C211" s="28" t="s">
        <v>727</v>
      </c>
      <c r="D211" s="28" t="s">
        <v>728</v>
      </c>
      <c r="E211" s="25">
        <v>46001</v>
      </c>
      <c r="F211" s="26" t="s">
        <v>395</v>
      </c>
      <c r="G211" s="26" t="s">
        <v>27</v>
      </c>
      <c r="H211" s="27">
        <v>98</v>
      </c>
      <c r="I211" s="26" t="s">
        <v>20</v>
      </c>
      <c r="J211" s="52" t="s">
        <v>729</v>
      </c>
      <c r="K211" s="23" t="s">
        <v>572</v>
      </c>
      <c r="L211" s="23" t="s">
        <v>572</v>
      </c>
      <c r="M211" s="29">
        <v>1</v>
      </c>
      <c r="N211" s="30" t="s">
        <v>24</v>
      </c>
      <c r="O211" s="51" t="s">
        <v>400</v>
      </c>
      <c r="P211" s="30" t="s">
        <v>24</v>
      </c>
      <c r="Q211" s="37" t="s">
        <v>23</v>
      </c>
    </row>
    <row r="212" spans="1:215" ht="30" customHeight="1" x14ac:dyDescent="0.35">
      <c r="A212" s="21">
        <f t="shared" si="8"/>
        <v>211</v>
      </c>
      <c r="B212" s="22" t="s">
        <v>15</v>
      </c>
      <c r="C212" s="28" t="s">
        <v>730</v>
      </c>
      <c r="D212" s="28" t="s">
        <v>731</v>
      </c>
      <c r="E212" s="25">
        <v>45883</v>
      </c>
      <c r="F212" s="26" t="s">
        <v>395</v>
      </c>
      <c r="G212" s="26" t="s">
        <v>147</v>
      </c>
      <c r="H212" s="27">
        <v>65</v>
      </c>
      <c r="I212" s="26" t="s">
        <v>28</v>
      </c>
      <c r="J212" s="33" t="s">
        <v>732</v>
      </c>
      <c r="K212" s="23" t="s">
        <v>733</v>
      </c>
      <c r="L212" s="23"/>
      <c r="M212" s="29"/>
      <c r="N212" s="37"/>
      <c r="O212" s="51" t="s">
        <v>400</v>
      </c>
      <c r="P212" s="37"/>
      <c r="Q212" s="37" t="s">
        <v>23</v>
      </c>
    </row>
    <row r="213" spans="1:215" ht="30" customHeight="1" x14ac:dyDescent="0.35">
      <c r="A213" s="21">
        <f t="shared" si="8"/>
        <v>212</v>
      </c>
      <c r="B213" s="22" t="s">
        <v>15</v>
      </c>
      <c r="C213" s="28" t="s">
        <v>734</v>
      </c>
      <c r="D213" s="28" t="s">
        <v>735</v>
      </c>
      <c r="E213" s="25">
        <v>46056</v>
      </c>
      <c r="F213" s="26" t="s">
        <v>395</v>
      </c>
      <c r="G213" s="26" t="s">
        <v>27</v>
      </c>
      <c r="H213" s="27">
        <v>17</v>
      </c>
      <c r="I213" s="26" t="s">
        <v>28</v>
      </c>
      <c r="J213" s="52" t="s">
        <v>736</v>
      </c>
      <c r="K213" s="23" t="s">
        <v>572</v>
      </c>
      <c r="L213" s="23" t="s">
        <v>572</v>
      </c>
      <c r="M213" s="29">
        <v>1</v>
      </c>
      <c r="N213" s="30" t="s">
        <v>23</v>
      </c>
      <c r="O213" s="29">
        <v>1</v>
      </c>
      <c r="P213" s="30" t="s">
        <v>23</v>
      </c>
      <c r="Q213" s="37" t="s">
        <v>23</v>
      </c>
    </row>
    <row r="214" spans="1:215" ht="30" customHeight="1" x14ac:dyDescent="0.35">
      <c r="A214" s="21">
        <f t="shared" si="8"/>
        <v>213</v>
      </c>
      <c r="B214" s="22" t="s">
        <v>144</v>
      </c>
      <c r="C214" s="28" t="s">
        <v>737</v>
      </c>
      <c r="D214" s="28" t="s">
        <v>738</v>
      </c>
      <c r="E214" s="25">
        <v>46087</v>
      </c>
      <c r="F214" s="26" t="s">
        <v>395</v>
      </c>
      <c r="G214" s="26" t="s">
        <v>147</v>
      </c>
      <c r="H214" s="27">
        <v>2854</v>
      </c>
      <c r="I214" s="26" t="s">
        <v>74</v>
      </c>
      <c r="J214" s="28" t="s">
        <v>739</v>
      </c>
      <c r="K214" s="23" t="s">
        <v>662</v>
      </c>
      <c r="L214" s="23"/>
      <c r="M214" s="29"/>
      <c r="N214" s="37"/>
      <c r="O214" s="51" t="s">
        <v>400</v>
      </c>
      <c r="P214" s="37"/>
      <c r="Q214" s="37" t="s">
        <v>23</v>
      </c>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row>
    <row r="215" spans="1:215" ht="30" customHeight="1" x14ac:dyDescent="0.35">
      <c r="A215" s="21">
        <f t="shared" si="8"/>
        <v>214</v>
      </c>
      <c r="B215" s="22" t="s">
        <v>135</v>
      </c>
      <c r="C215" s="28" t="s">
        <v>740</v>
      </c>
      <c r="D215" s="28" t="s">
        <v>741</v>
      </c>
      <c r="E215" s="25">
        <v>46090</v>
      </c>
      <c r="F215" s="36" t="s">
        <v>395</v>
      </c>
      <c r="G215" s="26" t="s">
        <v>27</v>
      </c>
      <c r="H215" s="27">
        <v>107.5</v>
      </c>
      <c r="I215" s="26" t="s">
        <v>28</v>
      </c>
      <c r="J215" s="33" t="s">
        <v>742</v>
      </c>
      <c r="K215" s="23" t="s">
        <v>494</v>
      </c>
      <c r="L215" s="23" t="s">
        <v>494</v>
      </c>
      <c r="M215" s="29">
        <v>1</v>
      </c>
      <c r="N215" s="30" t="s">
        <v>24</v>
      </c>
      <c r="O215" s="51" t="s">
        <v>400</v>
      </c>
      <c r="P215" s="30" t="s">
        <v>23</v>
      </c>
      <c r="Q215" s="37" t="s">
        <v>23</v>
      </c>
    </row>
    <row r="216" spans="1:215" ht="30" customHeight="1" x14ac:dyDescent="0.35">
      <c r="A216" s="21">
        <f t="shared" si="8"/>
        <v>215</v>
      </c>
      <c r="B216" s="22" t="s">
        <v>144</v>
      </c>
      <c r="C216" s="28" t="s">
        <v>743</v>
      </c>
      <c r="D216" s="28" t="s">
        <v>744</v>
      </c>
      <c r="E216" s="25">
        <v>46122</v>
      </c>
      <c r="F216" s="26" t="s">
        <v>395</v>
      </c>
      <c r="G216" s="53" t="s">
        <v>147</v>
      </c>
      <c r="H216" s="27">
        <v>610</v>
      </c>
      <c r="I216" s="26" t="s">
        <v>74</v>
      </c>
      <c r="J216" s="28" t="s">
        <v>745</v>
      </c>
      <c r="K216" s="23" t="s">
        <v>662</v>
      </c>
      <c r="L216" s="23"/>
      <c r="M216" s="29"/>
      <c r="N216" s="37"/>
      <c r="O216" s="51" t="s">
        <v>400</v>
      </c>
      <c r="P216" s="37"/>
      <c r="Q216" s="37" t="s">
        <v>23</v>
      </c>
    </row>
    <row r="217" spans="1:215" ht="30" customHeight="1" x14ac:dyDescent="0.35">
      <c r="A217" s="21">
        <f t="shared" si="8"/>
        <v>216</v>
      </c>
      <c r="B217" s="22" t="s">
        <v>15</v>
      </c>
      <c r="C217" s="28" t="s">
        <v>746</v>
      </c>
      <c r="D217" s="28" t="s">
        <v>747</v>
      </c>
      <c r="E217" s="25">
        <v>45859</v>
      </c>
      <c r="F217" s="26" t="s">
        <v>395</v>
      </c>
      <c r="G217" s="26" t="s">
        <v>147</v>
      </c>
      <c r="H217" s="27">
        <v>12</v>
      </c>
      <c r="I217" s="26" t="s">
        <v>28</v>
      </c>
      <c r="J217" s="33" t="s">
        <v>748</v>
      </c>
      <c r="K217" s="23" t="s">
        <v>749</v>
      </c>
      <c r="L217" s="23"/>
      <c r="M217" s="29"/>
      <c r="N217" s="37"/>
      <c r="O217" s="29"/>
      <c r="P217" s="37"/>
      <c r="Q217" s="37" t="s">
        <v>23</v>
      </c>
    </row>
    <row r="218" spans="1:215" ht="30" customHeight="1" x14ac:dyDescent="0.35">
      <c r="A218" s="21">
        <f t="shared" si="8"/>
        <v>217</v>
      </c>
      <c r="B218" s="22" t="s">
        <v>15</v>
      </c>
      <c r="C218" s="28" t="s">
        <v>750</v>
      </c>
      <c r="D218" s="28" t="s">
        <v>751</v>
      </c>
      <c r="E218" s="25">
        <v>46133</v>
      </c>
      <c r="F218" s="26" t="s">
        <v>395</v>
      </c>
      <c r="G218" s="26" t="s">
        <v>432</v>
      </c>
      <c r="H218" s="27">
        <v>90</v>
      </c>
      <c r="I218" s="26" t="s">
        <v>74</v>
      </c>
      <c r="J218" s="23" t="s">
        <v>752</v>
      </c>
      <c r="K218" s="23" t="s">
        <v>753</v>
      </c>
      <c r="L218" s="23" t="s">
        <v>753</v>
      </c>
      <c r="M218" s="29">
        <v>1</v>
      </c>
      <c r="N218" s="30" t="s">
        <v>24</v>
      </c>
      <c r="O218" s="51" t="s">
        <v>400</v>
      </c>
      <c r="P218" s="37" t="s">
        <v>23</v>
      </c>
      <c r="Q218" s="37" t="s">
        <v>23</v>
      </c>
    </row>
    <row r="219" spans="1:215" ht="30" customHeight="1" x14ac:dyDescent="0.35">
      <c r="A219" s="21">
        <f t="shared" si="8"/>
        <v>218</v>
      </c>
      <c r="B219" s="22" t="s">
        <v>15</v>
      </c>
      <c r="C219" s="28" t="s">
        <v>754</v>
      </c>
      <c r="D219" s="60" t="s">
        <v>755</v>
      </c>
      <c r="E219" s="25">
        <v>46135</v>
      </c>
      <c r="F219" s="26" t="s">
        <v>395</v>
      </c>
      <c r="G219" s="53" t="s">
        <v>132</v>
      </c>
      <c r="H219" s="27">
        <v>70</v>
      </c>
      <c r="I219" s="26" t="s">
        <v>20</v>
      </c>
      <c r="J219" s="52" t="s">
        <v>756</v>
      </c>
      <c r="K219" s="23" t="s">
        <v>239</v>
      </c>
      <c r="L219" s="23"/>
      <c r="M219" s="29">
        <v>1</v>
      </c>
      <c r="N219" s="61"/>
      <c r="O219" s="29">
        <v>1</v>
      </c>
      <c r="P219" s="30" t="s">
        <v>24</v>
      </c>
      <c r="Q219" s="37" t="s">
        <v>23</v>
      </c>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c r="GE219" s="3"/>
      <c r="GF219" s="3"/>
      <c r="GG219" s="3"/>
      <c r="GH219" s="3"/>
      <c r="GI219" s="3"/>
      <c r="GJ219" s="3"/>
      <c r="GK219" s="3"/>
      <c r="GL219" s="3"/>
      <c r="GM219" s="3"/>
      <c r="GN219" s="3"/>
      <c r="GO219" s="3"/>
      <c r="GP219" s="3"/>
      <c r="GQ219" s="3"/>
      <c r="GR219" s="3"/>
      <c r="GS219" s="3"/>
      <c r="GT219" s="3"/>
      <c r="GU219" s="3"/>
      <c r="GV219" s="3"/>
      <c r="GW219" s="3"/>
      <c r="GX219" s="3"/>
      <c r="GY219" s="3"/>
      <c r="GZ219" s="3"/>
      <c r="HA219" s="3"/>
      <c r="HB219" s="3"/>
      <c r="HC219" s="3"/>
      <c r="HD219" s="3"/>
      <c r="HE219" s="3"/>
      <c r="HF219" s="3"/>
      <c r="HG219" s="3"/>
    </row>
    <row r="220" spans="1:215" ht="30" customHeight="1" x14ac:dyDescent="0.35">
      <c r="A220" s="21">
        <f t="shared" si="8"/>
        <v>219</v>
      </c>
      <c r="B220" s="22" t="s">
        <v>15</v>
      </c>
      <c r="C220" s="28" t="s">
        <v>757</v>
      </c>
      <c r="D220" s="60" t="s">
        <v>758</v>
      </c>
      <c r="E220" s="25">
        <v>46150</v>
      </c>
      <c r="F220" s="26" t="s">
        <v>395</v>
      </c>
      <c r="G220" s="53" t="s">
        <v>114</v>
      </c>
      <c r="H220" s="27">
        <v>559</v>
      </c>
      <c r="I220" s="26" t="s">
        <v>74</v>
      </c>
      <c r="J220" s="28" t="s">
        <v>759</v>
      </c>
      <c r="K220" s="23" t="s">
        <v>760</v>
      </c>
      <c r="L220" s="23" t="s">
        <v>760</v>
      </c>
      <c r="M220" s="29">
        <v>1</v>
      </c>
      <c r="N220" s="30" t="s">
        <v>24</v>
      </c>
      <c r="O220" s="29">
        <v>1</v>
      </c>
      <c r="P220" s="30" t="s">
        <v>24</v>
      </c>
      <c r="Q220" s="37" t="s">
        <v>23</v>
      </c>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c r="GE220" s="3"/>
      <c r="GF220" s="3"/>
      <c r="GG220" s="3"/>
      <c r="GH220" s="3"/>
      <c r="GI220" s="3"/>
      <c r="GJ220" s="3"/>
      <c r="GK220" s="3"/>
      <c r="GL220" s="3"/>
      <c r="GM220" s="3"/>
      <c r="GN220" s="3"/>
      <c r="GO220" s="3"/>
      <c r="GP220" s="3"/>
      <c r="GQ220" s="3"/>
      <c r="GR220" s="3"/>
      <c r="GS220" s="3"/>
      <c r="GT220" s="3"/>
      <c r="GU220" s="3"/>
      <c r="GV220" s="3"/>
      <c r="GW220" s="3"/>
      <c r="GX220" s="3"/>
      <c r="GY220" s="3"/>
      <c r="GZ220" s="3"/>
      <c r="HA220" s="3"/>
      <c r="HB220" s="3"/>
      <c r="HC220" s="3"/>
      <c r="HD220" s="3"/>
      <c r="HE220" s="3"/>
      <c r="HF220" s="3"/>
      <c r="HG220" s="3"/>
    </row>
    <row r="221" spans="1:215" ht="30" customHeight="1" x14ac:dyDescent="0.35">
      <c r="A221" s="21">
        <f t="shared" si="8"/>
        <v>220</v>
      </c>
      <c r="B221" s="22" t="s">
        <v>15</v>
      </c>
      <c r="C221" s="28" t="s">
        <v>761</v>
      </c>
      <c r="D221" s="60" t="s">
        <v>762</v>
      </c>
      <c r="E221" s="25">
        <v>46151</v>
      </c>
      <c r="F221" s="26" t="s">
        <v>395</v>
      </c>
      <c r="G221" s="53" t="s">
        <v>132</v>
      </c>
      <c r="H221" s="27">
        <v>529</v>
      </c>
      <c r="I221" s="26" t="s">
        <v>20</v>
      </c>
      <c r="J221" s="28" t="s">
        <v>763</v>
      </c>
      <c r="K221" s="23" t="s">
        <v>239</v>
      </c>
      <c r="L221" s="23"/>
      <c r="M221" s="29">
        <v>1</v>
      </c>
      <c r="N221" s="61"/>
      <c r="O221" s="29">
        <v>1</v>
      </c>
      <c r="P221" s="30" t="s">
        <v>24</v>
      </c>
      <c r="Q221" s="37" t="s">
        <v>23</v>
      </c>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c r="GE221" s="3"/>
      <c r="GF221" s="3"/>
      <c r="GG221" s="3"/>
      <c r="GH221" s="3"/>
      <c r="GI221" s="3"/>
      <c r="GJ221" s="3"/>
      <c r="GK221" s="3"/>
      <c r="GL221" s="3"/>
      <c r="GM221" s="3"/>
      <c r="GN221" s="3"/>
      <c r="GO221" s="3"/>
      <c r="GP221" s="3"/>
      <c r="GQ221" s="3"/>
      <c r="GR221" s="3"/>
      <c r="GS221" s="3"/>
      <c r="GT221" s="3"/>
      <c r="GU221" s="3"/>
      <c r="GV221" s="3"/>
      <c r="GW221" s="3"/>
      <c r="GX221" s="3"/>
      <c r="GY221" s="3"/>
      <c r="GZ221" s="3"/>
      <c r="HA221" s="3"/>
      <c r="HB221" s="3"/>
      <c r="HC221" s="3"/>
      <c r="HD221" s="3"/>
      <c r="HE221" s="3"/>
      <c r="HF221" s="3"/>
      <c r="HG221" s="3"/>
    </row>
    <row r="222" spans="1:215" ht="30" customHeight="1" x14ac:dyDescent="0.35">
      <c r="A222" s="21">
        <f t="shared" si="8"/>
        <v>221</v>
      </c>
      <c r="B222" s="22" t="s">
        <v>117</v>
      </c>
      <c r="C222" s="28" t="s">
        <v>764</v>
      </c>
      <c r="D222" s="28" t="s">
        <v>765</v>
      </c>
      <c r="E222" s="25">
        <v>46151</v>
      </c>
      <c r="F222" s="26" t="s">
        <v>395</v>
      </c>
      <c r="G222" s="26" t="s">
        <v>132</v>
      </c>
      <c r="H222" s="27">
        <v>9</v>
      </c>
      <c r="I222" s="26" t="s">
        <v>28</v>
      </c>
      <c r="J222" s="28" t="s">
        <v>766</v>
      </c>
      <c r="K222" s="23" t="s">
        <v>249</v>
      </c>
      <c r="L222" s="23"/>
      <c r="M222" s="29"/>
      <c r="N222" s="37"/>
      <c r="O222" s="29"/>
      <c r="P222" s="37"/>
      <c r="Q222" s="37" t="s">
        <v>23</v>
      </c>
    </row>
    <row r="223" spans="1:215" ht="30" customHeight="1" x14ac:dyDescent="0.35">
      <c r="A223" s="21">
        <f t="shared" si="8"/>
        <v>222</v>
      </c>
      <c r="B223" s="22" t="s">
        <v>15</v>
      </c>
      <c r="C223" s="28" t="s">
        <v>767</v>
      </c>
      <c r="D223" s="28" t="s">
        <v>768</v>
      </c>
      <c r="E223" s="25">
        <v>46161</v>
      </c>
      <c r="F223" s="26" t="s">
        <v>395</v>
      </c>
      <c r="G223" s="26" t="s">
        <v>19</v>
      </c>
      <c r="H223" s="27">
        <v>1509</v>
      </c>
      <c r="I223" s="26" t="s">
        <v>74</v>
      </c>
      <c r="J223" s="33" t="s">
        <v>769</v>
      </c>
      <c r="K223" s="28" t="s">
        <v>770</v>
      </c>
      <c r="L223" s="28"/>
      <c r="M223" s="29"/>
      <c r="N223" s="37"/>
      <c r="O223" s="51" t="s">
        <v>400</v>
      </c>
      <c r="P223" s="37"/>
      <c r="Q223" s="37" t="s">
        <v>23</v>
      </c>
    </row>
    <row r="224" spans="1:215" ht="30" customHeight="1" x14ac:dyDescent="0.35">
      <c r="A224" s="21">
        <f t="shared" si="8"/>
        <v>223</v>
      </c>
      <c r="B224" s="22" t="s">
        <v>15</v>
      </c>
      <c r="C224" s="23" t="s">
        <v>771</v>
      </c>
      <c r="D224" s="23" t="s">
        <v>772</v>
      </c>
      <c r="E224" s="25">
        <v>46162</v>
      </c>
      <c r="F224" s="26" t="s">
        <v>395</v>
      </c>
      <c r="G224" s="35" t="s">
        <v>147</v>
      </c>
      <c r="H224" s="27">
        <v>448</v>
      </c>
      <c r="I224" s="26" t="s">
        <v>74</v>
      </c>
      <c r="J224" s="62" t="s">
        <v>773</v>
      </c>
      <c r="K224" s="28" t="s">
        <v>770</v>
      </c>
      <c r="L224" s="28"/>
      <c r="M224" s="29"/>
      <c r="N224" s="37"/>
      <c r="O224" s="51" t="s">
        <v>400</v>
      </c>
      <c r="P224" s="37"/>
      <c r="Q224" s="37" t="s">
        <v>23</v>
      </c>
    </row>
    <row r="225" spans="1:202" ht="30" customHeight="1" x14ac:dyDescent="0.35">
      <c r="A225" s="21">
        <f t="shared" si="8"/>
        <v>224</v>
      </c>
      <c r="B225" s="22" t="s">
        <v>15</v>
      </c>
      <c r="C225" s="28" t="s">
        <v>774</v>
      </c>
      <c r="D225" s="28" t="s">
        <v>775</v>
      </c>
      <c r="E225" s="25">
        <v>46171</v>
      </c>
      <c r="F225" s="26" t="s">
        <v>395</v>
      </c>
      <c r="G225" s="26" t="s">
        <v>114</v>
      </c>
      <c r="H225" s="27">
        <v>690</v>
      </c>
      <c r="I225" s="26" t="s">
        <v>74</v>
      </c>
      <c r="J225" s="28" t="s">
        <v>776</v>
      </c>
      <c r="K225" s="23" t="s">
        <v>760</v>
      </c>
      <c r="L225" s="23" t="s">
        <v>760</v>
      </c>
      <c r="M225" s="29">
        <v>1</v>
      </c>
      <c r="N225" s="30" t="s">
        <v>24</v>
      </c>
      <c r="O225" s="29">
        <v>0</v>
      </c>
      <c r="P225" s="30" t="s">
        <v>24</v>
      </c>
      <c r="Q225" s="37" t="s">
        <v>23</v>
      </c>
    </row>
    <row r="226" spans="1:202" ht="30" customHeight="1" x14ac:dyDescent="0.35">
      <c r="A226" s="21">
        <f t="shared" si="8"/>
        <v>225</v>
      </c>
      <c r="B226" s="22" t="s">
        <v>15</v>
      </c>
      <c r="C226" s="28" t="s">
        <v>777</v>
      </c>
      <c r="D226" s="28" t="s">
        <v>778</v>
      </c>
      <c r="E226" s="25">
        <v>46182</v>
      </c>
      <c r="F226" s="26" t="s">
        <v>395</v>
      </c>
      <c r="G226" s="26" t="s">
        <v>132</v>
      </c>
      <c r="H226" s="27">
        <v>427</v>
      </c>
      <c r="I226" s="26" t="s">
        <v>74</v>
      </c>
      <c r="J226" s="28" t="s">
        <v>779</v>
      </c>
      <c r="K226" s="23" t="s">
        <v>780</v>
      </c>
      <c r="L226" s="23"/>
      <c r="M226" s="29"/>
      <c r="N226" s="37"/>
      <c r="O226" s="51" t="s">
        <v>400</v>
      </c>
      <c r="P226" s="37"/>
      <c r="Q226" s="37" t="s">
        <v>23</v>
      </c>
    </row>
    <row r="227" spans="1:202" ht="30" customHeight="1" x14ac:dyDescent="0.35">
      <c r="A227" s="21">
        <f t="shared" si="8"/>
        <v>226</v>
      </c>
      <c r="B227" s="22" t="s">
        <v>15</v>
      </c>
      <c r="C227" s="28" t="s">
        <v>781</v>
      </c>
      <c r="D227" s="60" t="s">
        <v>782</v>
      </c>
      <c r="E227" s="25">
        <v>46191</v>
      </c>
      <c r="F227" s="26" t="s">
        <v>395</v>
      </c>
      <c r="G227" s="53" t="s">
        <v>132</v>
      </c>
      <c r="H227" s="27">
        <v>562</v>
      </c>
      <c r="I227" s="26" t="s">
        <v>74</v>
      </c>
      <c r="J227" s="28" t="s">
        <v>783</v>
      </c>
      <c r="K227" s="23" t="s">
        <v>780</v>
      </c>
      <c r="L227" s="23"/>
      <c r="M227" s="29"/>
      <c r="N227" s="37"/>
      <c r="O227" s="29"/>
      <c r="P227" s="37"/>
      <c r="Q227" s="37" t="s">
        <v>23</v>
      </c>
    </row>
    <row r="228" spans="1:202" ht="30" customHeight="1" x14ac:dyDescent="0.35">
      <c r="A228" s="21">
        <f t="shared" si="8"/>
        <v>227</v>
      </c>
      <c r="B228" s="22" t="s">
        <v>144</v>
      </c>
      <c r="C228" s="28" t="s">
        <v>784</v>
      </c>
      <c r="D228" s="28" t="s">
        <v>785</v>
      </c>
      <c r="E228" s="25">
        <v>46209</v>
      </c>
      <c r="F228" s="26" t="s">
        <v>395</v>
      </c>
      <c r="G228" s="26" t="s">
        <v>27</v>
      </c>
      <c r="H228" s="27">
        <v>265</v>
      </c>
      <c r="I228" s="26" t="s">
        <v>74</v>
      </c>
      <c r="J228" s="33" t="s">
        <v>786</v>
      </c>
      <c r="K228" s="23" t="s">
        <v>787</v>
      </c>
      <c r="L228" s="23" t="s">
        <v>787</v>
      </c>
      <c r="M228" s="29"/>
      <c r="N228" s="37"/>
      <c r="O228" s="51" t="s">
        <v>400</v>
      </c>
      <c r="P228" s="30" t="s">
        <v>23</v>
      </c>
      <c r="Q228" s="37" t="s">
        <v>23</v>
      </c>
    </row>
    <row r="229" spans="1:202" ht="30" customHeight="1" x14ac:dyDescent="0.35">
      <c r="A229" s="21">
        <f t="shared" si="8"/>
        <v>228</v>
      </c>
      <c r="B229" s="22" t="s">
        <v>15</v>
      </c>
      <c r="C229" s="28" t="s">
        <v>788</v>
      </c>
      <c r="D229" s="28" t="s">
        <v>789</v>
      </c>
      <c r="E229" s="25">
        <v>46226</v>
      </c>
      <c r="F229" s="26" t="s">
        <v>395</v>
      </c>
      <c r="G229" s="26" t="s">
        <v>120</v>
      </c>
      <c r="H229" s="27">
        <v>60</v>
      </c>
      <c r="I229" s="26" t="s">
        <v>74</v>
      </c>
      <c r="J229" s="33" t="s">
        <v>790</v>
      </c>
      <c r="K229" s="23" t="s">
        <v>791</v>
      </c>
      <c r="L229" s="23"/>
      <c r="M229" s="29"/>
      <c r="N229" s="37"/>
      <c r="O229" s="29"/>
      <c r="P229" s="37"/>
      <c r="Q229" s="37" t="s">
        <v>23</v>
      </c>
    </row>
    <row r="230" spans="1:202" ht="30" customHeight="1" x14ac:dyDescent="0.35">
      <c r="A230" s="21">
        <f t="shared" si="8"/>
        <v>229</v>
      </c>
      <c r="B230" s="22" t="s">
        <v>144</v>
      </c>
      <c r="C230" s="28" t="s">
        <v>792</v>
      </c>
      <c r="D230" s="28" t="s">
        <v>793</v>
      </c>
      <c r="E230" s="25">
        <v>46238</v>
      </c>
      <c r="F230" s="26" t="s">
        <v>395</v>
      </c>
      <c r="G230" s="26" t="s">
        <v>120</v>
      </c>
      <c r="H230" s="27">
        <v>840</v>
      </c>
      <c r="I230" s="26" t="s">
        <v>74</v>
      </c>
      <c r="J230" s="52" t="s">
        <v>794</v>
      </c>
      <c r="K230" s="23" t="s">
        <v>709</v>
      </c>
      <c r="L230" s="23"/>
      <c r="M230" s="29"/>
      <c r="N230" s="37"/>
      <c r="O230" s="29"/>
      <c r="P230" s="37"/>
      <c r="Q230" s="37" t="s">
        <v>23</v>
      </c>
    </row>
    <row r="231" spans="1:202" ht="30" customHeight="1" x14ac:dyDescent="0.35">
      <c r="A231" s="21">
        <f t="shared" si="8"/>
        <v>230</v>
      </c>
      <c r="B231" s="22" t="s">
        <v>15</v>
      </c>
      <c r="C231" s="28" t="s">
        <v>795</v>
      </c>
      <c r="D231" s="28" t="s">
        <v>796</v>
      </c>
      <c r="E231" s="25">
        <v>45890</v>
      </c>
      <c r="F231" s="26" t="s">
        <v>395</v>
      </c>
      <c r="G231" s="26" t="s">
        <v>432</v>
      </c>
      <c r="H231" s="27">
        <v>202</v>
      </c>
      <c r="I231" s="26" t="s">
        <v>74</v>
      </c>
      <c r="J231" s="28" t="s">
        <v>797</v>
      </c>
      <c r="K231" s="23" t="s">
        <v>798</v>
      </c>
      <c r="L231" s="23" t="s">
        <v>798</v>
      </c>
      <c r="M231" s="29">
        <v>1</v>
      </c>
      <c r="N231" s="30" t="s">
        <v>24</v>
      </c>
      <c r="O231" s="51" t="s">
        <v>400</v>
      </c>
      <c r="P231" s="37" t="s">
        <v>23</v>
      </c>
      <c r="Q231" s="37" t="s">
        <v>23</v>
      </c>
    </row>
    <row r="232" spans="1:202" ht="30" customHeight="1" x14ac:dyDescent="0.35">
      <c r="A232" s="21">
        <f t="shared" si="8"/>
        <v>231</v>
      </c>
      <c r="B232" s="22" t="s">
        <v>15</v>
      </c>
      <c r="C232" s="28" t="s">
        <v>799</v>
      </c>
      <c r="D232" s="24" t="s">
        <v>800</v>
      </c>
      <c r="E232" s="25">
        <v>46142</v>
      </c>
      <c r="F232" s="25" t="s">
        <v>18</v>
      </c>
      <c r="G232" s="26" t="s">
        <v>19</v>
      </c>
      <c r="H232" s="34">
        <v>450</v>
      </c>
      <c r="I232" s="26" t="s">
        <v>74</v>
      </c>
      <c r="J232" s="28" t="s">
        <v>109</v>
      </c>
      <c r="K232" s="28" t="s">
        <v>71</v>
      </c>
      <c r="L232" s="28"/>
      <c r="M232" s="29"/>
      <c r="N232" s="30" t="s">
        <v>23</v>
      </c>
      <c r="O232" s="29"/>
      <c r="P232" s="37"/>
      <c r="Q232" s="30" t="s">
        <v>23</v>
      </c>
    </row>
    <row r="233" spans="1:202" ht="30" customHeight="1" x14ac:dyDescent="0.35">
      <c r="A233" s="21">
        <f t="shared" si="8"/>
        <v>232</v>
      </c>
      <c r="B233" s="22" t="s">
        <v>144</v>
      </c>
      <c r="C233" s="28" t="s">
        <v>801</v>
      </c>
      <c r="D233" s="28" t="s">
        <v>802</v>
      </c>
      <c r="E233" s="25">
        <v>45903</v>
      </c>
      <c r="F233" s="26" t="s">
        <v>66</v>
      </c>
      <c r="G233" s="53" t="s">
        <v>147</v>
      </c>
      <c r="H233" s="27">
        <v>533</v>
      </c>
      <c r="I233" s="26" t="s">
        <v>74</v>
      </c>
      <c r="J233" s="28" t="s">
        <v>803</v>
      </c>
      <c r="K233" s="23" t="s">
        <v>804</v>
      </c>
      <c r="L233" s="23"/>
      <c r="M233" s="29"/>
      <c r="N233" s="37"/>
      <c r="O233" s="29"/>
      <c r="P233" s="37"/>
      <c r="Q233" s="37" t="s">
        <v>23</v>
      </c>
    </row>
    <row r="234" spans="1:202" ht="30" customHeight="1" x14ac:dyDescent="0.5">
      <c r="A234" s="21">
        <f t="shared" si="8"/>
        <v>233</v>
      </c>
      <c r="B234" s="22" t="s">
        <v>15</v>
      </c>
      <c r="C234" s="28" t="s">
        <v>805</v>
      </c>
      <c r="D234" s="24" t="s">
        <v>806</v>
      </c>
      <c r="E234" s="25">
        <v>46016</v>
      </c>
      <c r="F234" s="36" t="s">
        <v>66</v>
      </c>
      <c r="G234" s="35" t="s">
        <v>120</v>
      </c>
      <c r="H234" s="27">
        <v>239</v>
      </c>
      <c r="I234" s="26" t="s">
        <v>74</v>
      </c>
      <c r="J234" s="28" t="s">
        <v>807</v>
      </c>
      <c r="K234" s="23" t="s">
        <v>808</v>
      </c>
      <c r="L234" s="23"/>
      <c r="M234" s="29"/>
      <c r="N234" s="37"/>
      <c r="O234" s="29"/>
      <c r="P234" s="37"/>
      <c r="Q234" s="37" t="s">
        <v>23</v>
      </c>
      <c r="GG234" s="4"/>
      <c r="GH234" s="43"/>
      <c r="GI234" s="63"/>
      <c r="GJ234" s="64"/>
      <c r="GK234" s="45"/>
      <c r="GL234" s="46"/>
      <c r="GM234" s="46"/>
      <c r="GN234" s="47"/>
      <c r="GO234" s="47"/>
      <c r="GP234" s="48"/>
      <c r="GQ234" s="49"/>
      <c r="GR234" s="9"/>
      <c r="GS234" s="8"/>
      <c r="GT234" s="8"/>
    </row>
    <row r="235" spans="1:202" x14ac:dyDescent="0.35">
      <c r="P235" s="30"/>
    </row>
  </sheetData>
  <sheetProtection formatCells="0" formatColumns="0" formatRows="0" insertColumns="0" insertRows="0" insertHyperlinks="0" deleteColumns="0" deleteRows="0" sort="0" autoFilter="0" pivotTables="0"/>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workbookViewId="0"/>
  </sheetViews>
  <sheetFormatPr defaultColWidth="9.1328125" defaultRowHeight="12.75" x14ac:dyDescent="0.35"/>
  <cols>
    <col min="2" max="2" width="10.59765625"/>
  </cols>
  <sheetData>
    <row r="3" spans="1:2" x14ac:dyDescent="0.35">
      <c r="A3" t="s">
        <v>5</v>
      </c>
      <c r="B3" t="s">
        <v>809</v>
      </c>
    </row>
    <row r="4" spans="1:2" x14ac:dyDescent="0.35">
      <c r="A4" t="s">
        <v>113</v>
      </c>
      <c r="B4">
        <v>130762.11</v>
      </c>
    </row>
    <row r="5" spans="1:2" x14ac:dyDescent="0.35">
      <c r="A5" t="s">
        <v>66</v>
      </c>
      <c r="B5">
        <v>1136</v>
      </c>
    </row>
    <row r="6" spans="1:2" x14ac:dyDescent="0.35">
      <c r="A6" t="s">
        <v>18</v>
      </c>
      <c r="B6">
        <v>72443</v>
      </c>
    </row>
    <row r="7" spans="1:2" x14ac:dyDescent="0.35">
      <c r="A7" t="s">
        <v>395</v>
      </c>
      <c r="B7">
        <v>139549.4</v>
      </c>
    </row>
    <row r="8" spans="1:2" x14ac:dyDescent="0.35">
      <c r="A8" t="s">
        <v>810</v>
      </c>
      <c r="B8">
        <v>343890.51</v>
      </c>
    </row>
  </sheetData>
  <sheetProtection formatCells="0" formatColumns="0" formatRows="0" insertColumns="0" insertRows="0" insertHyperlinks="0" deleteColumns="0" deleteRows="0" sort="0" autoFilter="0" pivotTables="0"/>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workbookViewId="0"/>
  </sheetViews>
  <sheetFormatPr defaultColWidth="9.1328125" defaultRowHeight="12.75" x14ac:dyDescent="0.35"/>
  <cols>
    <col min="1" max="1" width="13" customWidth="1"/>
    <col min="2" max="2" width="16.86328125" customWidth="1"/>
  </cols>
  <sheetData>
    <row r="3" spans="1:2" x14ac:dyDescent="0.35">
      <c r="A3" t="s">
        <v>8</v>
      </c>
      <c r="B3" t="s">
        <v>811</v>
      </c>
    </row>
    <row r="4" spans="1:2" x14ac:dyDescent="0.35">
      <c r="A4" t="s">
        <v>20</v>
      </c>
      <c r="B4">
        <v>36</v>
      </c>
    </row>
    <row r="5" spans="1:2" x14ac:dyDescent="0.35">
      <c r="A5" t="s">
        <v>74</v>
      </c>
      <c r="B5">
        <v>77</v>
      </c>
    </row>
    <row r="6" spans="1:2" x14ac:dyDescent="0.35">
      <c r="A6" t="s">
        <v>28</v>
      </c>
      <c r="B6">
        <v>88</v>
      </c>
    </row>
    <row r="7" spans="1:2" x14ac:dyDescent="0.35">
      <c r="A7" t="s">
        <v>121</v>
      </c>
      <c r="B7">
        <v>32</v>
      </c>
    </row>
    <row r="8" spans="1:2" x14ac:dyDescent="0.35">
      <c r="A8" t="s">
        <v>810</v>
      </c>
      <c r="B8">
        <v>233</v>
      </c>
    </row>
  </sheetData>
  <sheetProtection formatCells="0" formatColumns="0" formatRows="0" insertColumns="0" insertRows="0" insertHyperlinks="0" deleteColumns="0" deleteRows="0" sort="0" autoFilter="0" pivotTables="0"/>
  <phoneticPr fontId="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https://web.wps.cn/et/2018/main" xmlns:s="http://schemas.openxmlformats.org/spreadsheetml/2006/main">
  <pixelatorList sheetStid="18"/>
  <pixelatorList sheetStid="20"/>
  <pixelatorList sheetStid="22"/>
  <pixelatorList sheetStid="23"/>
</pixelators>
</file>

<file path=customXml/item2.xml><?xml version="1.0" encoding="utf-8"?>
<woProps xmlns="https://web.wps.cn/et/2018/main" xmlns:s="http://schemas.openxmlformats.org/spreadsheetml/2006/main">
  <woSheetsProps>
    <woSheetProps sheetStid="18" interlineOnOff="0" interlineColor="0" isDbSheet="0" isDashBoardSheet="0" isDbDashBoardSheet="0" isFlexPaperSheet="0">
      <cellprotection/>
      <appEtDbRelations/>
    </woSheetProps>
    <woSheetProps sheetStid="20" interlineOnOff="0" interlineColor="0" isDbSheet="0" isDashBoardSheet="0" isDbDashBoardSheet="0" isFlexPaperSheet="0">
      <pivotTables>
        <pivotTable pivotTableName="数据透视表1" updateTime="4" sourceDataDirty="1"/>
      </pivotTables>
      <cellprotection/>
      <appEtDbRelations/>
    </woSheetProps>
    <woSheetProps sheetStid="22" interlineOnOff="0" interlineColor="0" isDbSheet="0" isDashBoardSheet="0" isDbDashBoardSheet="0" isFlexPaperSheet="0">
      <pivotTables>
        <pivotTable pivotTableName="数据透视表1" updateTime="5" sourceDataDirty="1"/>
      </pivotTables>
      <cellprotection/>
      <appEtDbRelations/>
    </woSheetProps>
  </woSheetsProps>
  <woBookProps>
    <bookSettings fileId="" isFilterShared="0" woEtMtcEnabled="0" coreConquerUserId="" isAutoUpdatePaused="0" filterType="user" isMergeTasksAutoUpdate="0" isInserPicAsAttachment="0" supportDbFmlaDisp="0"/>
  </woBookProps>
</woProps>
</file>

<file path=customXml/item3.xml><?xml version="1.0" encoding="utf-8"?>
<autofilters xmlns="https://web.wps.cn/et/2018/main"/>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按类别区分 2026年8月</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wxwx</dc:creator>
  <cp:lastModifiedBy>振洋 孟</cp:lastModifiedBy>
  <cp:lastPrinted>2020-01-06T21:54:00Z</cp:lastPrinted>
  <dcterms:created xsi:type="dcterms:W3CDTF">2019-04-26T00:36:00Z</dcterms:created>
  <dcterms:modified xsi:type="dcterms:W3CDTF">2026-08-20T06:24:15Z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B06FAD1ECC73C3B8A992866AA1851DFA_43</vt:lpwstr>
  </property>
  <property fmtid="{D5CDD505-2E9C-101B-9397-08002B2CF9AE}" pid="3" name="KSOProductBuildVer">
    <vt:lpwstr>2052-12.9.0.26001</vt:lpwstr>
  </property>
  <property fmtid="{D5CDD505-2E9C-101B-9397-08002B2CF9AE}" pid="4" name="KSOReadingLayout">
    <vt:bool>true</vt:bool>
  </property>
  <property fmtid="{D5CDD505-2E9C-101B-9397-08002B2CF9AE}" pid="5" name="CalculationRule">
    <vt:i4>0</vt:i4>
  </property>
</Properties>
</file>